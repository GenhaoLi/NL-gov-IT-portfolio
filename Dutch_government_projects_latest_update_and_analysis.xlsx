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T" sheetId="1" r:id="rId4"/>
    <sheet state="visible" name="Explanation" sheetId="2" r:id="rId5"/>
    <sheet state="visible" name="Scenario Summary" sheetId="3" r:id="rId6"/>
  </sheets>
  <definedNames>
    <definedName name="largest_project">ICT!$C$6</definedName>
    <definedName name="total_loss_percent">ICT!$C$4</definedName>
    <definedName name="total_loss">ICT!$C$3</definedName>
    <definedName name="normal_loss">ICT!$G$3</definedName>
    <definedName name="risk_excess">ICT!$G$4</definedName>
    <definedName name="failed_budget">ICT!$C$7</definedName>
    <definedName name="risk_excess_percent">ICT!$F$4</definedName>
  </definedNames>
  <calcPr/>
  <extLst>
    <ext uri="GoogleSheetsCustomDataVersion2">
      <go:sheetsCustomData xmlns:go="http://customooxmlschemas.google.com/" r:id="rId7" roundtripDataChecksum="ObqdiftCBIpJCRgEr6LV9YiBCwNi0zXldglj8AZ3pX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3">
      <text>
        <t xml:space="preserve">======
ID#AAABV7emU4c
Genhao Li    (2024-09-25 17:26:15)
&lt;20</t>
      </text>
    </comment>
  </commentList>
  <extLst>
    <ext uri="GoogleSheetsCustomDataVersion2">
      <go:sheetsCustomData xmlns:go="http://customooxmlschemas.google.com/" r:id="rId1" roundtripDataSignature="AMtx7mhtOs5N2mBpEGnjsQUodT7xdO6kFQ=="/>
    </ext>
  </extLst>
</comments>
</file>

<file path=xl/sharedStrings.xml><?xml version="1.0" encoding="utf-8"?>
<sst xmlns="http://schemas.openxmlformats.org/spreadsheetml/2006/main" count="545" uniqueCount="320">
  <si>
    <t>Portfolio Dutch Federal IT 2007</t>
  </si>
  <si>
    <t>mln eur</t>
  </si>
  <si>
    <t>Expected failing IT millions (mln EUR):</t>
  </si>
  <si>
    <t>normal risk</t>
  </si>
  <si>
    <t>C3 = sum(cost * p) * 75%</t>
  </si>
  <si>
    <t>Expected probability of failure</t>
  </si>
  <si>
    <t>risk excess</t>
  </si>
  <si>
    <t>C4 = C3 / sum(cost)</t>
  </si>
  <si>
    <t>Nr. Ministerie Project</t>
  </si>
  <si>
    <r>
      <rPr>
        <rFont val="Arial"/>
        <b/>
        <i/>
        <color theme="1"/>
        <sz val="10.0"/>
      </rPr>
      <t>referred table(T1)</t>
    </r>
    <r>
      <rPr>
        <rFont val="Arial"/>
        <b val="0"/>
        <i val="0"/>
        <color theme="1"/>
        <sz val="10.0"/>
      </rPr>
      <t xml:space="preserve">: </t>
    </r>
  </si>
  <si>
    <t>%Largest project of IT component:</t>
  </si>
  <si>
    <t>https://www.tweedekamer.nl/downloads/document?id=2009D34255</t>
  </si>
  <si>
    <t>%Failed of project in case that software failes:</t>
  </si>
  <si>
    <t>empty = no source</t>
  </si>
  <si>
    <t>T=time</t>
  </si>
  <si>
    <t>from this column on is data collected by our own</t>
  </si>
  <si>
    <t>M=Cost</t>
  </si>
  <si>
    <t>Min</t>
  </si>
  <si>
    <t>Description</t>
  </si>
  <si>
    <t>Planned Cost (mln EUR)</t>
  </si>
  <si>
    <t>% IT</t>
  </si>
  <si>
    <t>time period</t>
  </si>
  <si>
    <t>Planned Duration (year)</t>
  </si>
  <si>
    <t>IT EUR(mln)</t>
  </si>
  <si>
    <t>IT/year</t>
  </si>
  <si>
    <t>software EUR(mln)</t>
  </si>
  <si>
    <t>dollars 99</t>
  </si>
  <si>
    <t>Benchmark</t>
  </si>
  <si>
    <t>size (FP)</t>
  </si>
  <si>
    <t>probability of failure</t>
  </si>
  <si>
    <t>failure(mln EUR)</t>
  </si>
  <si>
    <t>Current status</t>
  </si>
  <si>
    <t>Combined status</t>
  </si>
  <si>
    <t>Online date</t>
  </si>
  <si>
    <t>Actual Duration (year)</t>
  </si>
  <si>
    <r>
      <rPr>
        <rFont val="Arial"/>
        <b/>
        <color rgb="FFFF0000"/>
        <sz val="10.0"/>
      </rPr>
      <t>Time Overrun</t>
    </r>
    <r>
      <rPr>
        <rFont val="Arial"/>
        <b/>
        <color theme="1"/>
        <sz val="10.0"/>
      </rPr>
      <t xml:space="preserve"> (years)</t>
    </r>
  </si>
  <si>
    <t>Lastest cost</t>
  </si>
  <si>
    <r>
      <rPr>
        <rFont val="Arial"/>
        <b/>
        <color rgb="FFFF0000"/>
        <sz val="10.0"/>
      </rPr>
      <t>Cost Overrun</t>
    </r>
    <r>
      <rPr>
        <rFont val="Arial"/>
        <b/>
        <color theme="1"/>
        <sz val="10.0"/>
      </rPr>
      <t xml:space="preserve"> (mln EUR)</t>
    </r>
  </si>
  <si>
    <t>Overrun(M&amp;T)</t>
  </si>
  <si>
    <t>info link</t>
  </si>
  <si>
    <t>BZK</t>
  </si>
  <si>
    <t>P-direkt</t>
  </si>
  <si>
    <t>2004-2018</t>
  </si>
  <si>
    <t>active</t>
  </si>
  <si>
    <t>31-12-2010</t>
  </si>
  <si>
    <t>https://rijksictdashboard.nl/ict-activiteiten/e404d751-2023-4ddb-86c1-5469bc63317f</t>
  </si>
  <si>
    <t>VenW</t>
  </si>
  <si>
    <t>BB (Beter Benutten) 21</t>
  </si>
  <si>
    <t>1999-2008</t>
  </si>
  <si>
    <t>https://www.treinreiziger.nl/prorail-tot-2030-extra-veel-spoor-vernieuwen-ook-overdag-en-buiten-vakanties/</t>
  </si>
  <si>
    <t>FIN</t>
  </si>
  <si>
    <t>Aanslagbelastingensysteem (ABS)</t>
  </si>
  <si>
    <t>https://zoek.officielebekendmakingen.nl/kst-31066-992.html</t>
  </si>
  <si>
    <t>Toeslagen</t>
  </si>
  <si>
    <t>2005-2008</t>
  </si>
  <si>
    <t>23-12-2011</t>
  </si>
  <si>
    <t>T</t>
  </si>
  <si>
    <t>https://rijksictdashboard.nl/ict-activiteiten/e65803ab-6288-40f4-95bb-7b4ba269a327</t>
  </si>
  <si>
    <t>Complexiteitsreductie</t>
  </si>
  <si>
    <t>2006-2015</t>
  </si>
  <si>
    <t>suspended</t>
  </si>
  <si>
    <t>T1</t>
  </si>
  <si>
    <t>SZW</t>
  </si>
  <si>
    <t>Vernieuwing (UWV)</t>
  </si>
  <si>
    <t>2007-2011</t>
  </si>
  <si>
    <t>https://www.uwv.nl/nl/over-uwv</t>
  </si>
  <si>
    <t>Samenwerking UWV-Belastingdienst (SUB)</t>
  </si>
  <si>
    <t>2003-2008</t>
  </si>
  <si>
    <t>https://www.loonaangifteketen.nl/binaries/loonaangifteketen/documenten/convenanten/2020/03/09/convenant-samenwerking-loonaangifteketen-belastingdienst-uwv-cbs/Convenant+samenwerking+loonaangifteketen+Belastingdienst+UWV+CBS.pdf</t>
  </si>
  <si>
    <t>VTI, Programma Vaste Telecom Infra</t>
  </si>
  <si>
    <t>2006-2011</t>
  </si>
  <si>
    <t>cancelled</t>
  </si>
  <si>
    <t>InfoPlus</t>
  </si>
  <si>
    <t>Oct 2000 - Oct 2009</t>
  </si>
  <si>
    <t>JUS</t>
  </si>
  <si>
    <t>Project Invoering Protocol Identiteitsvaststelling</t>
  </si>
  <si>
    <t>-2010</t>
  </si>
  <si>
    <t>https://www.strafrechtketen.nl/actueel/nieuws/2021/11/22/protocol-identiteitsvaststelling</t>
  </si>
  <si>
    <r>
      <rPr>
        <rFont val="Arial"/>
        <color theme="1"/>
        <sz val="10.0"/>
      </rPr>
      <t>Herinrichting invorderingsproces</t>
    </r>
    <r>
      <rPr>
        <rFont val="Arial"/>
        <b/>
        <color rgb="FFFF0000"/>
        <sz val="10.0"/>
      </rPr>
      <t>(renamed to ETM)</t>
    </r>
  </si>
  <si>
    <t>M&amp;T</t>
  </si>
  <si>
    <t>https://rijksictdashboard.nl/ict-activiteiten/44407368-191b-4ae7-b727-7eab039661b7</t>
  </si>
  <si>
    <t>DEF</t>
  </si>
  <si>
    <t>MULAN</t>
  </si>
  <si>
    <t>2003-2007</t>
  </si>
  <si>
    <t>MIS</t>
  </si>
  <si>
    <t>https://zoek.officielebekendmakingen.nl/kst-36100-X-1.html</t>
  </si>
  <si>
    <t>wet Werk en Inkomen naar Arbeidsvermogen (UWV)</t>
  </si>
  <si>
    <t>Oct 2005 till medio 2008</t>
  </si>
  <si>
    <t>Reisdocumentenprogramma</t>
  </si>
  <si>
    <t>2005-2009</t>
  </si>
  <si>
    <t>unknown</t>
  </si>
  <si>
    <t>Implementatie C2000</t>
  </si>
  <si>
    <t>2006-2009</t>
  </si>
  <si>
    <t>https://www.adviescollegeicttoetsing.nl/documenten/publicaties/2016/11/22/bit-advies-implementatie-vernieuwing-c2000</t>
  </si>
  <si>
    <t>LNV</t>
  </si>
  <si>
    <t>Elektronische Dienstverlening LNV (EDV)</t>
  </si>
  <si>
    <t>2003-2011</t>
  </si>
  <si>
    <t>VWS</t>
  </si>
  <si>
    <t>Diagnose Behandeling Combinaties (DBC) in de curatieve zorg</t>
  </si>
  <si>
    <t>2000-2007</t>
  </si>
  <si>
    <t>https://www.zorgcijfersdatabank.nl/toelichting/rapport-2022/medisch-specialistische-zorg</t>
  </si>
  <si>
    <t>Vernieuwing informatievoorziening DJI</t>
  </si>
  <si>
    <t>2002-2012</t>
  </si>
  <si>
    <t>31-12-2013</t>
  </si>
  <si>
    <t>https://rijksictdashboard.nl/ict-activiteiten/7322396e-dea8-4d38-9273-c197eb79180c</t>
  </si>
  <si>
    <t>Modernisering Objecten Bediening Zeeland</t>
  </si>
  <si>
    <t>2004-2010</t>
  </si>
  <si>
    <t>31-12-2018</t>
  </si>
  <si>
    <t>https://rijksictdashboard.nl/ict-activiteiten/f50705ba-ec4e-4893-ac46-ff5ed127e922</t>
  </si>
  <si>
    <t>SPEER</t>
  </si>
  <si>
    <t>till 2013</t>
  </si>
  <si>
    <t>31-12-2015</t>
  </si>
  <si>
    <t>https://rijksictdashboard.nl/ict-activiteiten/85e1279b-0c14-45f1-b144-3144cf75c544</t>
  </si>
  <si>
    <t>Walvis/SUB SZW Digitaal Klantdossier (CWI)</t>
  </si>
  <si>
    <t>Implementatie EMD/WDH</t>
  </si>
  <si>
    <t>Basisregistraties</t>
  </si>
  <si>
    <t>2007-2010</t>
  </si>
  <si>
    <t>https://rijksictdashboard.nl/ict-activiteiten/2de4f98a-9342-40b8-b5c4-c76d6269cc92</t>
  </si>
  <si>
    <t>BZ</t>
  </si>
  <si>
    <t>Werken in de Toekomst (WIT)</t>
  </si>
  <si>
    <t>2008-2001</t>
  </si>
  <si>
    <r>
      <rPr>
        <rFont val="Arial"/>
        <color theme="1"/>
        <sz val="10.0"/>
      </rPr>
      <t xml:space="preserve">Vernieuwing IND </t>
    </r>
    <r>
      <rPr>
        <rFont val="Arial"/>
        <b/>
        <color rgb="FFFF0000"/>
        <sz val="10.0"/>
      </rPr>
      <t>(renamed to INDIGO)</t>
    </r>
  </si>
  <si>
    <t>2006-2010</t>
  </si>
  <si>
    <t>https://rijksictdashboard.nl/ict-activiteiten/7bec8d3e-7062-41fb-a2e3-bdc1edf7c518</t>
  </si>
  <si>
    <t>OCW</t>
  </si>
  <si>
    <t>Wijziging studiefinancieringssytemen IBGroep</t>
  </si>
  <si>
    <t>Programma NoorderWint</t>
  </si>
  <si>
    <t>2005-2010</t>
  </si>
  <si>
    <t>31-01-2011</t>
  </si>
  <si>
    <t>https://rijksictdashboard.nl/ict-activiteiten/6a20e4b6-c125-48c5-b5c7-3fa1f7356ea6</t>
  </si>
  <si>
    <t>USMF (UWV)</t>
  </si>
  <si>
    <t>2002-2007</t>
  </si>
  <si>
    <t>PALS</t>
  </si>
  <si>
    <t>https://rijksictdashboard.nl/ict-activiteiten/2e6d6fb1-50c7-47bc-8d56-d5e0fe5d95d1</t>
  </si>
  <si>
    <t>Invoering van het persoonsgebonden nummer (PGN, ook wel onderwijsnummer) in het Primair Onderwijs</t>
  </si>
  <si>
    <t>Sagitta binnenbrengen</t>
  </si>
  <si>
    <t>2006-2007</t>
  </si>
  <si>
    <t>Herman</t>
  </si>
  <si>
    <t>Q3-2006 t/m Q1-2009</t>
  </si>
  <si>
    <t>SVB Tien (SVB)</t>
  </si>
  <si>
    <t>https://rijksictdashboard.nl/ict-activiteiten/09b1ce9a-294f-48db-96b9-bf5cb79305cc</t>
  </si>
  <si>
    <t>ReIS</t>
  </si>
  <si>
    <t>2003-2010</t>
  </si>
  <si>
    <t>completed</t>
  </si>
  <si>
    <t>eCustoms</t>
  </si>
  <si>
    <t>2005-2012</t>
  </si>
  <si>
    <t>M</t>
  </si>
  <si>
    <t>https://rijksictdashboard.nl/ict-activiteiten/ce9d570c-f711-4bb1-953b-01a62f444c03</t>
  </si>
  <si>
    <t>DIV-online</t>
  </si>
  <si>
    <t>VenW Beschikbaarheid In Zicht (BIZ) 25 100</t>
  </si>
  <si>
    <t>NA</t>
  </si>
  <si>
    <t>Vooringevulde aangifte (VIA)</t>
  </si>
  <si>
    <t>2006-2008</t>
  </si>
  <si>
    <t>https://rijksictdashboard.nl/ict-activiteiten/f5a8b162-363e-480a-8d0f-e21c0eedae65</t>
  </si>
  <si>
    <t>Modernisering Gemeentelijke Basisadministratie persoonsgegevens ( mGBA)</t>
  </si>
  <si>
    <t>https://www.parlementairemonitor.nl/9353000/1/j9vvij5epmj1ey0/vm7yr0tfxszn</t>
  </si>
  <si>
    <t>Rijksweb</t>
  </si>
  <si>
    <t>2005-2007</t>
  </si>
  <si>
    <t>GPS</t>
  </si>
  <si>
    <t>2000-2010</t>
  </si>
  <si>
    <t>31-12-2011</t>
  </si>
  <si>
    <t>https://rijksictdashboard.nl/ict-activiteiten/132afe97-ad4f-49fc-b789-f3010c85c893</t>
  </si>
  <si>
    <t>Servicegericht bekostigen</t>
  </si>
  <si>
    <t>2004-feb 2007</t>
  </si>
  <si>
    <t>VIP21</t>
  </si>
  <si>
    <t>Walradar Noordzeekanaal</t>
  </si>
  <si>
    <t>NVIS (Nieuw Visum Informatie Systeem)</t>
  </si>
  <si>
    <t>Managementinformatie &amp; Datawarehousing DJI (MI&amp;D)</t>
  </si>
  <si>
    <r>
      <rPr>
        <rFont val="Arial"/>
        <color theme="1"/>
        <sz val="10.0"/>
      </rPr>
      <t>Programma Stroomlijning indicatieprocessen in Zorg en Sociale Zekerheid</t>
    </r>
    <r>
      <rPr>
        <rFont val="Arial"/>
        <b/>
        <color rgb="FFFF0000"/>
        <sz val="10.0"/>
      </rPr>
      <t>(renamed to Programma Stroomlijning Indicatieprocessen (STIP))</t>
    </r>
  </si>
  <si>
    <t>https://rijksictdashboard.nl/ict-activiteiten/baa114a3-4559-407f-ba15-c4a30c800442</t>
  </si>
  <si>
    <t>EZ</t>
  </si>
  <si>
    <t>Bedrijvenloket</t>
  </si>
  <si>
    <t>Biometrie DJI</t>
  </si>
  <si>
    <t>Oct 2006 - Q3 2008</t>
  </si>
  <si>
    <r>
      <rPr>
        <rFont val="Arial"/>
        <color theme="1"/>
        <sz val="10.0"/>
      </rPr>
      <t>Nationaal Schengen Informatiesysteem (NSIS-II)</t>
    </r>
    <r>
      <rPr>
        <rFont val="Arial"/>
        <b/>
        <color rgb="FFFF0000"/>
        <sz val="10.0"/>
      </rPr>
      <t>(renamed to NL-SIS-II (Nederlands Schengen Informatiesysteem))</t>
    </r>
  </si>
  <si>
    <t>https://rijksictdashboard.nl/ict-activiteiten/1c2220dc-caea-45a3-8004-bfc173e3947f</t>
  </si>
  <si>
    <t>VROM</t>
  </si>
  <si>
    <r>
      <rPr>
        <rFont val="Arial"/>
        <color theme="1"/>
        <sz val="10.0"/>
      </rPr>
      <t>Basisregistraties Adressen en Gebouwen</t>
    </r>
    <r>
      <rPr>
        <rFont val="Arial"/>
        <b/>
        <color rgb="FFFF0000"/>
        <sz val="10.0"/>
      </rPr>
      <t>(2.0)</t>
    </r>
  </si>
  <si>
    <t>till end 2009</t>
  </si>
  <si>
    <t>https://www.geobasisregistraties.nl/basisregistraties/adressen-en-gebouwen/bag-wet-en-regelgeving</t>
  </si>
  <si>
    <t>Basisvoorziening Handhaving (BVH)</t>
  </si>
  <si>
    <t>Mar 2007 - Sep 2009</t>
  </si>
  <si>
    <t>HAVANK</t>
  </si>
  <si>
    <t>t/m 2009</t>
  </si>
  <si>
    <t>Implementatie Wet OM-afdoening</t>
  </si>
  <si>
    <t>https://www.om.nl/onderwerpen/beleidsregels/aanwijzingen/executie/aanwijzing-om-strafbeschikking-2022a003#:~:text=Door%20de%20invoering%20van%20de,257a%20Sv).</t>
  </si>
  <si>
    <t>ASTRIS</t>
  </si>
  <si>
    <t>Trots</t>
  </si>
  <si>
    <t>2004-2009</t>
  </si>
  <si>
    <t>Digitaal Verzekeringsbericht (UWV)</t>
  </si>
  <si>
    <t>Sept 2006 - Q1 2009</t>
  </si>
  <si>
    <t>DONNA</t>
  </si>
  <si>
    <t>till medio 2009</t>
  </si>
  <si>
    <t>Relatie-identificatie LNV (Rel-id)</t>
  </si>
  <si>
    <t>2007-2009</t>
  </si>
  <si>
    <t>Killen en Migreren (UWV)</t>
  </si>
  <si>
    <t>https://rijksictdashboard.nl/ict-activiteiten/715d29e9-380c-430a-92b5-ef9848b7fde9</t>
  </si>
  <si>
    <t>Basisvoorziening Opsporing (BVO)</t>
  </si>
  <si>
    <t>Jan 2007 - medio 2008</t>
  </si>
  <si>
    <t>Nieuw handelsregister</t>
  </si>
  <si>
    <t>2002-2010</t>
  </si>
  <si>
    <t>Basisvoorziening Capaciteitsmanagement (BVCM)</t>
  </si>
  <si>
    <t>Mar 2007 - Jul 2009</t>
  </si>
  <si>
    <t>Vervanging deelsystemen TITAAN</t>
  </si>
  <si>
    <t>2007-2021</t>
  </si>
  <si>
    <t>TITAAN (Theatre Independent Tactical Army and Airforce Network)</t>
  </si>
  <si>
    <t>2001-2009</t>
  </si>
  <si>
    <t>https://www.computable.nl/2020/11/04/weg-vrij-voor-nieuwe-it-infrastructuur-defensie/</t>
  </si>
  <si>
    <t>Herinrichting Personele Functiegebied</t>
  </si>
  <si>
    <t>https://rijksictdashboard.nl/ict-activiteiten/c109adb4-3a3a-4df4-ba0f-5849ccc8a43d</t>
  </si>
  <si>
    <t>F-16 Link-16</t>
  </si>
  <si>
    <t>2000-2011</t>
  </si>
  <si>
    <t>https://magazines.defensie.nl/defensiekrant/2016/22/dkdatalink</t>
  </si>
  <si>
    <t>NIMCIS (Nieuw Mariniers Communicatie en Informatie Systeem)</t>
  </si>
  <si>
    <t>2002-2008</t>
  </si>
  <si>
    <t>https://magazines.defensie.nl/materieelgezien/2022/02/nimcis-biedt-verbeterde-verbindingen-korps-mariniers</t>
  </si>
  <si>
    <t>JenG</t>
  </si>
  <si>
    <t>Elektronisch Kinddossier in de Jeugdgezondheidszorg</t>
  </si>
  <si>
    <t>MILSATCOM lange termijn defensiebreed (Militaire Satelliet Communicatie)</t>
  </si>
  <si>
    <t>2001-2012</t>
  </si>
  <si>
    <t>https://www.rijksfinancien.nl/memorie-van-toelichting/2023/OWB/K/onderdeel/1467257</t>
  </si>
  <si>
    <t>Battlefield Management System (BMS)</t>
  </si>
  <si>
    <t>2006-2012</t>
  </si>
  <si>
    <t>https://rijksictdashboard.nl/ict-activiteiten/a5b6b639-f62f-4cc9-8bed-14a8161db378</t>
  </si>
  <si>
    <t>Datacommunicatie Mobiel Optreden (DCMO)</t>
  </si>
  <si>
    <t>2008-2012</t>
  </si>
  <si>
    <t>Defensiepas/ Basisvoorziening Betrouwbare Communicatie (BBC)</t>
  </si>
  <si>
    <t>2004-2008</t>
  </si>
  <si>
    <t>EXPLANATION OF THE CALCULATION</t>
  </si>
  <si>
    <t>see separate sheet</t>
  </si>
  <si>
    <t>Projects with M&amp;T</t>
  </si>
  <si>
    <t>Estimate Cost</t>
  </si>
  <si>
    <t>investigate what became of the projects mentioned in the Excel,</t>
  </si>
  <si>
    <t>Final coast</t>
  </si>
  <si>
    <t>in the case of failure/overrun assess whether the predictions (400-2000 million exposure) materialized</t>
  </si>
  <si>
    <t>complete</t>
  </si>
  <si>
    <t xml:space="preserve">Cost groups - Current Status Counts </t>
  </si>
  <si>
    <t>COUNTA of Combined status</t>
  </si>
  <si>
    <t>Grouped Planned Cost (mln EUR)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</si>
  <si>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</si>
  <si>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</si>
  <si>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</si>
  <si>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</si>
  <si>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</si>
  <si>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</si>
  <si>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</si>
  <si>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</si>
  <si>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</si>
  <si>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</si>
  <si>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&gt; 200</t>
  </si>
  <si>
    <t>total by status</t>
  </si>
  <si>
    <t>DATA on projects with known latest cost (A174)</t>
  </si>
  <si>
    <t>Total predicted loss</t>
  </si>
  <si>
    <t>Total known loss</t>
  </si>
  <si>
    <t>Total Overrun (excluding negative overruns, i.e. underruns)</t>
  </si>
  <si>
    <t xml:space="preserve">time / cost overrun </t>
  </si>
  <si>
    <t>Don't move!</t>
  </si>
  <si>
    <t>line y=x is manually added</t>
  </si>
  <si>
    <t>Filter: has Actual duration data</t>
  </si>
  <si>
    <t>Filter: has Latest cost data</t>
  </si>
  <si>
    <t>Filter: (Currrent status = suspended or cancelled) or (Overrun cost &gt; 0)</t>
  </si>
  <si>
    <t>The portfolio used is located at:</t>
  </si>
  <si>
    <t>http://www.minbzk.nl/aspx/download.aspx?file=/contents/pages/90083/bijlageinventarisatiegroteict-projecten.pdf</t>
  </si>
  <si>
    <t>In case of an a-b notation, the average percentage/costs are taken (this occurred 10 times). There is one project with an &gt;a notation, in this case a is taken.</t>
  </si>
  <si>
    <t>The benchmark used is described in the following book:</t>
  </si>
  <si>
    <r>
      <rPr>
        <rFont val="Arial"/>
        <color theme="1"/>
        <sz val="10.0"/>
      </rPr>
      <t xml:space="preserve">Capers Jones, </t>
    </r>
    <r>
      <rPr>
        <rFont val="Arial"/>
        <b/>
        <color theme="1"/>
        <sz val="10.0"/>
      </rPr>
      <t>Software Assessments, Benchmarks, and Best practices</t>
    </r>
    <r>
      <rPr>
        <rFont val="Arial"/>
        <color theme="1"/>
        <sz val="10.0"/>
      </rPr>
      <t>, Addison-Wesley, 2000, ISBN 0-201-48542-7</t>
    </r>
  </si>
  <si>
    <t>Tabel 1.3 (p18) lists the number of projects used. For the interesting categories these are:</t>
  </si>
  <si>
    <t>Outsourced</t>
  </si>
  <si>
    <t>Military</t>
  </si>
  <si>
    <t>Total</t>
  </si>
  <si>
    <t>Table 7.7(p191) describes the connection between function points and costs for MIS projects. From these, a formula was derived:</t>
  </si>
  <si>
    <t>Avg costs/FP</t>
  </si>
  <si>
    <t>Avg costs</t>
  </si>
  <si>
    <t>fitted FP (R^2=1.000 with log-log transformation)</t>
  </si>
  <si>
    <t>Table  8.8 (p274) describes the connection between function points and costs for outsourced projects. From these, a formula was derived:</t>
  </si>
  <si>
    <t>Table 11.7 (p498) describes the connection between function points and costs for military projects. From these, a formula was derived:</t>
  </si>
  <si>
    <t>Table 7.8(p192), 8.8(p275) and 11.8(p499) describe the relation between function points and canceled projects</t>
  </si>
  <si>
    <t>size(FP)</t>
  </si>
  <si>
    <t>The fit used is already entered in the cells that are equal to the original table.</t>
  </si>
  <si>
    <t>This method is described in:</t>
  </si>
  <si>
    <r>
      <rPr>
        <rFont val="Arial"/>
        <color theme="1"/>
      </rPr>
      <t xml:space="preserve">C. Verhoef, </t>
    </r>
    <r>
      <rPr>
        <rFont val="Arial"/>
        <b/>
        <color theme="1"/>
        <sz val="10.0"/>
      </rPr>
      <t>Quantitative IT portfolio management</t>
    </r>
    <r>
      <rPr>
        <rFont val="Arial"/>
        <color theme="1"/>
        <sz val="10.0"/>
      </rPr>
      <t xml:space="preserve">, Science of Computer Programming, Volume 45, Issue 1, October 2002, Pages 1-96. </t>
    </r>
  </si>
  <si>
    <t>http://www.cs.vu.nl/~x/ipm/ipm.pdf</t>
  </si>
  <si>
    <t>The benchmark used describes the situation in 1999 and uses costs in dollars.</t>
  </si>
  <si>
    <t>Current euros have to be translated to this unit</t>
  </si>
  <si>
    <t>On the site of DNB the following information is listed:</t>
  </si>
  <si>
    <t>via</t>
  </si>
  <si>
    <t>http://www.statistics.dnb.nl/index.cgi?lang=nl&amp;todo=Koersen</t>
  </si>
  <si>
    <t>Amerikaanse dollar *</t>
  </si>
  <si>
    <t>* Source: ECB</t>
  </si>
  <si>
    <t>Thereby, the conversion rate used is 1.0658</t>
  </si>
  <si>
    <t>Next to that, inflation is corrected for. From CBS Statline, table Historische Inflatie:</t>
  </si>
  <si>
    <t>http://statline.cbs.nl/</t>
  </si>
  <si>
    <t>Onderwerpen</t>
  </si>
  <si>
    <t>Inflatie, afgeleid</t>
  </si>
  <si>
    <t>Calculated index</t>
  </si>
  <si>
    <t>Perioden</t>
  </si>
  <si>
    <t>%</t>
  </si>
  <si>
    <t>De reeks Inflatiecijfers, afgeleid is gelijk aan de gewone reeks,</t>
  </si>
  <si>
    <t>exclusief het effect van veranderingen in de tarieven van</t>
  </si>
  <si>
    <t>productgebonden belastingen (bijvoorbeeld BTW en accijns op</t>
  </si>
  <si>
    <t>alcohol en tabak) en subsidies.</t>
  </si>
  <si>
    <t>The correction for inflation used is 1.178206706 . The inflation correction has been adjusted for the effect of taxation.</t>
  </si>
  <si>
    <t>Scenario Summary</t>
  </si>
  <si>
    <t>Current Values:</t>
  </si>
  <si>
    <t>low</t>
  </si>
  <si>
    <t>normal</t>
  </si>
  <si>
    <t>high</t>
  </si>
  <si>
    <t>Created by pkampst on 7/10/2008</t>
  </si>
  <si>
    <t>Changing Cells:</t>
  </si>
  <si>
    <t>largest_project</t>
  </si>
  <si>
    <t>failed_budget</t>
  </si>
  <si>
    <t>Result Cells:</t>
  </si>
  <si>
    <t>total_loss</t>
  </si>
  <si>
    <t>total_loss_percent</t>
  </si>
  <si>
    <t>risk_excess_percent</t>
  </si>
  <si>
    <t>normal_loss</t>
  </si>
  <si>
    <t>risk_excess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</si>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</sst>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(&quot;$&quot;* #,##0.00_);_(&quot;$&quot;* \(#,##0.00\);_(&quot;$&quot;* &quot;-&quot;??_);_(@_)"/>
    <numFmt numFmtId="166" formatCode="_(* #,##0_);_(* \(#,##0\);_(* &quot;-&quot;??_);_(@_)"/>
  </numFmts>
  <fonts count="1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u/>
      <sz val="11.0"/>
      <color rgb="FF1F1F1F"/>
      <name val="&quot;Google Sans&quot;"/>
    </font>
    <font>
      <u/>
      <sz val="10.0"/>
      <color rgb="FF800080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sz val="17.0"/>
      <color theme="1"/>
      <name val="Arial"/>
      <scheme val="minor"/>
    </font>
    <font>
      <u/>
      <color rgb="FF0000FF"/>
    </font>
    <font>
      <sz val="9.0"/>
      <color theme="1"/>
      <name val="Arial"/>
    </font>
    <font>
      <b/>
      <sz val="11.0"/>
      <color rgb="FFFFFFFF"/>
      <name val="Arial"/>
    </font>
    <font>
      <sz val="9.0"/>
      <color rgb="FFFFFFFF"/>
      <name val="Arial"/>
    </font>
    <font>
      <b/>
      <sz val="10.0"/>
      <color rgb="FF000000"/>
      <name val="Arial"/>
    </font>
    <font>
      <sz val="8.0"/>
      <color theme="1"/>
      <name val="Arial"/>
    </font>
    <font>
      <b/>
      <sz val="10.0"/>
      <color rgb="FF00008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</fills>
  <borders count="12">
    <border/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2" fontId="2" numFmtId="0" xfId="0" applyAlignment="1" applyBorder="1" applyFill="1" applyFont="1">
      <alignment shrinkToFit="0" vertical="bottom" wrapText="0"/>
    </xf>
    <xf borderId="1" fillId="2" fontId="2" numFmtId="1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  <xf borderId="1" fillId="2" fontId="2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3" numFmtId="2" xfId="0" applyFont="1" applyNumberFormat="1"/>
    <xf borderId="0" fillId="0" fontId="3" numFmtId="1" xfId="0" applyFont="1" applyNumberFormat="1"/>
    <xf borderId="0" fillId="0" fontId="3" numFmtId="164" xfId="0" applyFont="1" applyNumberFormat="1"/>
    <xf borderId="0" fillId="0" fontId="12" numFmtId="0" xfId="0" applyFont="1"/>
    <xf borderId="0" fillId="0" fontId="3" numFmtId="14" xfId="0" applyFont="1" applyNumberFormat="1"/>
    <xf borderId="2" fillId="0" fontId="5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165" xfId="0" applyAlignment="1" applyBorder="1" applyFont="1" applyNumberFormat="1">
      <alignment shrinkToFit="0" vertical="bottom" wrapText="0"/>
    </xf>
    <xf borderId="4" fillId="0" fontId="4" numFmtId="166" xfId="0" applyAlignment="1" applyBorder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4" fillId="0" fontId="4" numFmtId="9" xfId="0" applyAlignment="1" applyBorder="1" applyFont="1" applyNumberFormat="1">
      <alignment shrinkToFit="0" vertical="bottom" wrapText="0"/>
    </xf>
    <xf borderId="1" fillId="3" fontId="13" numFmtId="0" xfId="0" applyAlignment="1" applyBorder="1" applyFill="1" applyFont="1">
      <alignment horizontal="left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7" fillId="4" fontId="14" numFmtId="0" xfId="0" applyAlignment="1" applyBorder="1" applyFill="1" applyFont="1">
      <alignment horizontal="left" shrinkToFit="0" vertical="bottom" wrapText="0"/>
    </xf>
    <xf borderId="7" fillId="4" fontId="15" numFmtId="0" xfId="0" applyAlignment="1" applyBorder="1" applyFont="1">
      <alignment horizontal="right" shrinkToFit="0" vertical="bottom" wrapText="0"/>
    </xf>
    <xf borderId="8" fillId="4" fontId="14" numFmtId="0" xfId="0" applyAlignment="1" applyBorder="1" applyFont="1">
      <alignment horizontal="left" shrinkToFit="0" vertical="bottom" wrapText="0"/>
    </xf>
    <xf borderId="8" fillId="4" fontId="15" numFmtId="0" xfId="0" applyAlignment="1" applyBorder="1" applyFont="1">
      <alignment horizontal="right" shrinkToFit="0" vertical="bottom" wrapText="0"/>
    </xf>
    <xf borderId="1" fillId="5" fontId="16" numFmtId="0" xfId="0" applyAlignment="1" applyBorder="1" applyFill="1" applyFont="1">
      <alignment horizontal="left" shrinkToFit="0" vertical="bottom" wrapText="0"/>
    </xf>
    <xf borderId="0" fillId="0" fontId="17" numFmtId="0" xfId="0" applyAlignment="1" applyFont="1">
      <alignment shrinkToFit="0" vertical="top" wrapText="1"/>
    </xf>
    <xf borderId="9" fillId="5" fontId="18" numFmtId="0" xfId="0" applyAlignment="1" applyBorder="1" applyFont="1">
      <alignment horizontal="left" shrinkToFit="0" vertical="bottom" wrapText="0"/>
    </xf>
    <xf borderId="10" fillId="0" fontId="4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11" fillId="5" fontId="16" numFmtId="0" xfId="0" applyAlignment="1" applyBorder="1" applyFont="1">
      <alignment horizontal="left" shrinkToFit="0" vertical="bottom" wrapText="0"/>
    </xf>
    <xf borderId="4" fillId="0" fontId="4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 Current Status across different Budget Ranges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ICT!$D$94:$D$95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ICT!$B$96:$B$106</c:f>
            </c:strRef>
          </c:cat>
          <c:val>
            <c:numRef>
              <c:f>ICT!$D$96:$D$106</c:f>
              <c:numCache/>
            </c:numRef>
          </c:val>
        </c:ser>
        <c:ser>
          <c:idx val="1"/>
          <c:order val="1"/>
          <c:tx>
            <c:strRef>
              <c:f>ICT!$E$94:$E$95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ICT!$B$96:$B$106</c:f>
            </c:strRef>
          </c:cat>
          <c:val>
            <c:numRef>
              <c:f>ICT!$E$96:$E$106</c:f>
              <c:numCache/>
            </c:numRef>
          </c:val>
        </c:ser>
        <c:ser>
          <c:idx val="2"/>
          <c:order val="2"/>
          <c:tx>
            <c:strRef>
              <c:f>ICT!$C$94:$C$95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9"/>
          </c:dPt>
          <c:cat>
            <c:strRef>
              <c:f>ICT!$B$96:$B$106</c:f>
            </c:strRef>
          </c:cat>
          <c:val>
            <c:numRef>
              <c:f>ICT!$C$96:$C$106</c:f>
              <c:numCache/>
            </c:numRef>
          </c:val>
        </c:ser>
        <c:ser>
          <c:idx val="3"/>
          <c:order val="3"/>
          <c:tx>
            <c:strRef>
              <c:f>ICT!$F$94:$F$95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ICT!$B$96:$B$106</c:f>
            </c:strRef>
          </c:cat>
          <c:val>
            <c:numRef>
              <c:f>ICT!$F$96:$F$106</c:f>
              <c:numCache/>
            </c:numRef>
          </c:val>
        </c:ser>
        <c:overlap val="100"/>
        <c:axId val="1270624102"/>
        <c:axId val="54062064"/>
      </c:barChart>
      <c:catAx>
        <c:axId val="1270624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Budget (mln 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62064"/>
      </c:catAx>
      <c:valAx>
        <c:axId val="54062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Project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624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Planned vs. Actual Duration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ICT!$S$148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ICT!$F$149:$F$166</c:f>
            </c:numRef>
          </c:xVal>
          <c:yVal>
            <c:numRef>
              <c:f>ICT!$S$149:$S$166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819095"/>
        <c:axId val="620970614"/>
      </c:scatterChart>
      <c:valAx>
        <c:axId val="1998819095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Planned Duration (year)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970614"/>
      </c:valAx>
      <c:valAx>
        <c:axId val="620970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Duration (year)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819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vs. Actual Cost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ICT!$U$173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ICT!$C$174:$C$192</c:f>
            </c:numRef>
          </c:xVal>
          <c:yVal>
            <c:numRef>
              <c:f>ICT!$U$174:$U$192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099578"/>
        <c:axId val="523442522"/>
      </c:scatterChart>
      <c:valAx>
        <c:axId val="333099578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Budget (mln 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442522"/>
      </c:valAx>
      <c:valAx>
        <c:axId val="523442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Cost (mln 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099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Overrun Cost (≤ 0 means underrun)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ICT!$V$148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ICT!$C$149:$C$166</c:f>
            </c:numRef>
          </c:xVal>
          <c:yVal>
            <c:numRef>
              <c:f>ICT!$V$149:$V$166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037815"/>
        <c:axId val="1849395963"/>
      </c:scatterChart>
      <c:valAx>
        <c:axId val="1842037815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Budget (mln 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395963"/>
      </c:valAx>
      <c:valAx>
        <c:axId val="1849395963"/>
        <c:scaling>
          <c:orientation val="minMax"/>
          <c:min val="-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Overrun Cost (mln 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037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152400</xdr:colOff>
      <xdr:row>92</xdr:row>
      <xdr:rowOff>28575</xdr:rowOff>
    </xdr:from>
    <xdr:ext cx="6438900" cy="3295650"/>
    <xdr:pic>
      <xdr:nvPicPr>
        <xdr:cNvPr id="151966564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97</xdr:row>
      <xdr:rowOff>76200</xdr:rowOff>
    </xdr:from>
    <xdr:ext cx="6305550" cy="3048000"/>
    <xdr:graphicFrame>
      <xdr:nvGraphicFramePr>
        <xdr:cNvPr id="85293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123</xdr:row>
      <xdr:rowOff>76200</xdr:rowOff>
    </xdr:from>
    <xdr:ext cx="3476625" cy="3533775"/>
    <xdr:graphicFrame>
      <xdr:nvGraphicFramePr>
        <xdr:cNvPr id="45302419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0</xdr:colOff>
      <xdr:row>123</xdr:row>
      <xdr:rowOff>76200</xdr:rowOff>
    </xdr:from>
    <xdr:ext cx="3476625" cy="3533775"/>
    <xdr:graphicFrame>
      <xdr:nvGraphicFramePr>
        <xdr:cNvPr id="119759489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857250</xdr:colOff>
      <xdr:row>126</xdr:row>
      <xdr:rowOff>28575</xdr:rowOff>
    </xdr:from>
    <xdr:ext cx="4295775" cy="2657475"/>
    <xdr:graphicFrame>
      <xdr:nvGraphicFramePr>
        <xdr:cNvPr id="40541548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714375</xdr:colOff>
      <xdr:row>126</xdr:row>
      <xdr:rowOff>123825</xdr:rowOff>
    </xdr:from>
    <xdr:ext cx="2609850" cy="2381250"/>
    <xdr:grpSp>
      <xdr:nvGrpSpPr>
        <xdr:cNvPr id="2" name="Shape 2" title="Drawing"/>
        <xdr:cNvGrpSpPr/>
      </xdr:nvGrpSpPr>
      <xdr:grpSpPr>
        <a:xfrm>
          <a:off x="3054475" y="4295600"/>
          <a:ext cx="3287100" cy="2521200"/>
          <a:chOff x="3054475" y="4295600"/>
          <a:chExt cx="3287100" cy="2521200"/>
        </a:xfrm>
      </xdr:grpSpPr>
      <xdr:cxnSp>
        <xdr:nvCxnSpPr>
          <xdr:cNvPr id="3" name="Shape 3"/>
          <xdr:cNvCxnSpPr/>
        </xdr:nvCxnSpPr>
        <xdr:spPr>
          <a:xfrm flipH="1" rot="10800000">
            <a:off x="3054475" y="4295600"/>
            <a:ext cx="3287100" cy="252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704850</xdr:colOff>
      <xdr:row>126</xdr:row>
      <xdr:rowOff>123825</xdr:rowOff>
    </xdr:from>
    <xdr:ext cx="2609850" cy="2381250"/>
    <xdr:grpSp>
      <xdr:nvGrpSpPr>
        <xdr:cNvPr id="2" name="Shape 2" title="Drawing"/>
        <xdr:cNvGrpSpPr/>
      </xdr:nvGrpSpPr>
      <xdr:grpSpPr>
        <a:xfrm>
          <a:off x="4169550" y="3054475"/>
          <a:ext cx="3064200" cy="3490800"/>
          <a:chOff x="4169550" y="3054475"/>
          <a:chExt cx="3064200" cy="3490800"/>
        </a:xfrm>
      </xdr:grpSpPr>
      <xdr:cxnSp>
        <xdr:nvCxnSpPr>
          <xdr:cNvPr id="4" name="Shape 4"/>
          <xdr:cNvCxnSpPr/>
        </xdr:nvCxnSpPr>
        <xdr:spPr>
          <a:xfrm flipH="1">
            <a:off x="4169550" y="3054475"/>
            <a:ext cx="3064200" cy="3490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ijksictdashboard.nl/ict-activiteiten/6a20e4b6-c125-48c5-b5c7-3fa1f7356ea6" TargetMode="External"/><Relationship Id="rId42" Type="http://schemas.openxmlformats.org/officeDocument/2006/relationships/hyperlink" Target="https://rijksictdashboard.nl/ict-activiteiten/2e6d6fb1-50c7-47bc-8d56-d5e0fe5d95d1" TargetMode="External"/><Relationship Id="rId41" Type="http://schemas.openxmlformats.org/officeDocument/2006/relationships/hyperlink" Target="https://rijksictdashboard.nl/ict-activiteiten/c109adb4-3a3a-4df4-ba0f-5849ccc8a43d" TargetMode="External"/><Relationship Id="rId44" Type="http://schemas.openxmlformats.org/officeDocument/2006/relationships/hyperlink" Target="https://rijksictdashboard.nl/ict-activiteiten/2de4f98a-9342-40b8-b5c4-c76d6269cc92" TargetMode="External"/><Relationship Id="rId43" Type="http://schemas.openxmlformats.org/officeDocument/2006/relationships/hyperlink" Target="https://rijksictdashboard.nl/ict-activiteiten/f5a8b162-363e-480a-8d0f-e21c0eedae65" TargetMode="External"/><Relationship Id="rId46" Type="http://schemas.openxmlformats.org/officeDocument/2006/relationships/hyperlink" Target="https://rijksictdashboard.nl/ict-activiteiten/7322396e-dea8-4d38-9273-c197eb79180c" TargetMode="External"/><Relationship Id="rId45" Type="http://schemas.openxmlformats.org/officeDocument/2006/relationships/hyperlink" Target="https://rijksictdashboard.nl/ict-activiteiten/ce9d570c-f711-4bb1-953b-01a62f444c0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tweedekamer.nl/downloads/document?id=2009D34255" TargetMode="External"/><Relationship Id="rId3" Type="http://schemas.openxmlformats.org/officeDocument/2006/relationships/hyperlink" Target="https://rijksictdashboard.nl/ict-activiteiten/e404d751-2023-4ddb-86c1-5469bc63317f" TargetMode="External"/><Relationship Id="rId4" Type="http://schemas.openxmlformats.org/officeDocument/2006/relationships/hyperlink" Target="https://www.treinreiziger.nl/prorail-tot-2030-extra-veel-spoor-vernieuwen-ook-overdag-en-buiten-vakanties/" TargetMode="External"/><Relationship Id="rId9" Type="http://schemas.openxmlformats.org/officeDocument/2006/relationships/hyperlink" Target="https://www.strafrechtketen.nl/actueel/nieuws/2021/11/22/protocol-identiteitsvaststelling" TargetMode="External"/><Relationship Id="rId48" Type="http://schemas.openxmlformats.org/officeDocument/2006/relationships/hyperlink" Target="https://rijksictdashboard.nl/ict-activiteiten/44407368-191b-4ae7-b727-7eab039661b7" TargetMode="External"/><Relationship Id="rId47" Type="http://schemas.openxmlformats.org/officeDocument/2006/relationships/hyperlink" Target="https://rijksictdashboard.nl/ict-activiteiten/f50705ba-ec4e-4893-ac46-ff5ed127e922" TargetMode="External"/><Relationship Id="rId49" Type="http://schemas.openxmlformats.org/officeDocument/2006/relationships/hyperlink" Target="https://rijksictdashboard.nl/ict-activiteiten/7bec8d3e-7062-41fb-a2e3-bdc1edf7c518" TargetMode="External"/><Relationship Id="rId5" Type="http://schemas.openxmlformats.org/officeDocument/2006/relationships/hyperlink" Target="https://zoek.officielebekendmakingen.nl/kst-31066-992.html" TargetMode="External"/><Relationship Id="rId6" Type="http://schemas.openxmlformats.org/officeDocument/2006/relationships/hyperlink" Target="https://rijksictdashboard.nl/ict-activiteiten/e65803ab-6288-40f4-95bb-7b4ba269a327" TargetMode="External"/><Relationship Id="rId7" Type="http://schemas.openxmlformats.org/officeDocument/2006/relationships/hyperlink" Target="https://www.uwv.nl/nl/over-uwv" TargetMode="External"/><Relationship Id="rId8" Type="http://schemas.openxmlformats.org/officeDocument/2006/relationships/hyperlink" Target="https://www.loonaangifteketen.nl/binaries/loonaangifteketen/documenten/convenanten/2020/03/09/convenant-samenwerking-loonaangifteketen-belastingdienst-uwv-cbs/Convenant+samenwerking+loonaangifteketen+Belastingdienst+UWV+CBS.pdf" TargetMode="External"/><Relationship Id="rId73" Type="http://schemas.openxmlformats.org/officeDocument/2006/relationships/hyperlink" Target="https://rijksictdashboard.nl/ict-activiteiten/09b1ce9a-294f-48db-96b9-bf5cb79305cc" TargetMode="External"/><Relationship Id="rId72" Type="http://schemas.openxmlformats.org/officeDocument/2006/relationships/hyperlink" Target="https://rijksictdashboard.nl/ict-activiteiten/c109adb4-3a3a-4df4-ba0f-5849ccc8a43d" TargetMode="External"/><Relationship Id="rId31" Type="http://schemas.openxmlformats.org/officeDocument/2006/relationships/hyperlink" Target="https://www.computable.nl/2020/11/04/weg-vrij-voor-nieuwe-it-infrastructuur-defensie/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rijksictdashboard.nl/ict-activiteiten/715d29e9-380c-430a-92b5-ef9848b7fde9" TargetMode="External"/><Relationship Id="rId74" Type="http://schemas.openxmlformats.org/officeDocument/2006/relationships/hyperlink" Target="https://rijksictdashboard.nl/ict-activiteiten/a5b6b639-f62f-4cc9-8bed-14a8161db378" TargetMode="External"/><Relationship Id="rId33" Type="http://schemas.openxmlformats.org/officeDocument/2006/relationships/hyperlink" Target="https://magazines.defensie.nl/defensiekrant/2016/22/dkdatalink" TargetMode="External"/><Relationship Id="rId32" Type="http://schemas.openxmlformats.org/officeDocument/2006/relationships/hyperlink" Target="https://rijksictdashboard.nl/ict-activiteiten/c109adb4-3a3a-4df4-ba0f-5849ccc8a43d" TargetMode="External"/><Relationship Id="rId76" Type="http://schemas.openxmlformats.org/officeDocument/2006/relationships/vmlDrawing" Target="../drawings/vmlDrawing1.vml"/><Relationship Id="rId35" Type="http://schemas.openxmlformats.org/officeDocument/2006/relationships/hyperlink" Target="https://www.rijksfinancien.nl/memorie-van-toelichting/2023/OWB/K/onderdeel/1467257" TargetMode="External"/><Relationship Id="rId34" Type="http://schemas.openxmlformats.org/officeDocument/2006/relationships/hyperlink" Target="https://magazines.defensie.nl/materieelgezien/2022/02/nimcis-biedt-verbeterde-verbindingen-korps-mariniers" TargetMode="External"/><Relationship Id="rId71" Type="http://schemas.openxmlformats.org/officeDocument/2006/relationships/hyperlink" Target="https://rijksictdashboard.nl/ict-activiteiten/715d29e9-380c-430a-92b5-ef9848b7fde9" TargetMode="External"/><Relationship Id="rId70" Type="http://schemas.openxmlformats.org/officeDocument/2006/relationships/hyperlink" Target="https://rijksictdashboard.nl/ict-activiteiten/1c2220dc-caea-45a3-8004-bfc173e3947f" TargetMode="External"/><Relationship Id="rId37" Type="http://schemas.openxmlformats.org/officeDocument/2006/relationships/hyperlink" Target="https://rijksictdashboard.nl/ict-activiteiten/715d29e9-380c-430a-92b5-ef9848b7fde9" TargetMode="External"/><Relationship Id="rId36" Type="http://schemas.openxmlformats.org/officeDocument/2006/relationships/hyperlink" Target="https://rijksictdashboard.nl/ict-activiteiten/a5b6b639-f62f-4cc9-8bed-14a8161db378" TargetMode="External"/><Relationship Id="rId39" Type="http://schemas.openxmlformats.org/officeDocument/2006/relationships/hyperlink" Target="https://rijksictdashboard.nl/ict-activiteiten/baa114a3-4559-407f-ba15-c4a30c800442" TargetMode="External"/><Relationship Id="rId38" Type="http://schemas.openxmlformats.org/officeDocument/2006/relationships/hyperlink" Target="https://rijksictdashboard.nl/ict-activiteiten/1c2220dc-caea-45a3-8004-bfc173e3947f" TargetMode="External"/><Relationship Id="rId62" Type="http://schemas.openxmlformats.org/officeDocument/2006/relationships/hyperlink" Target="https://rijksictdashboard.nl/ict-activiteiten/7bec8d3e-7062-41fb-a2e3-bdc1edf7c518" TargetMode="External"/><Relationship Id="rId61" Type="http://schemas.openxmlformats.org/officeDocument/2006/relationships/hyperlink" Target="https://rijksictdashboard.nl/ict-activiteiten/2de4f98a-9342-40b8-b5c4-c76d6269cc92" TargetMode="External"/><Relationship Id="rId20" Type="http://schemas.openxmlformats.org/officeDocument/2006/relationships/hyperlink" Target="https://rijksictdashboard.nl/ict-activiteiten/2e6d6fb1-50c7-47bc-8d56-d5e0fe5d95d1" TargetMode="External"/><Relationship Id="rId64" Type="http://schemas.openxmlformats.org/officeDocument/2006/relationships/hyperlink" Target="https://rijksictdashboard.nl/ict-activiteiten/2e6d6fb1-50c7-47bc-8d56-d5e0fe5d95d1" TargetMode="External"/><Relationship Id="rId63" Type="http://schemas.openxmlformats.org/officeDocument/2006/relationships/hyperlink" Target="https://rijksictdashboard.nl/ict-activiteiten/6a20e4b6-c125-48c5-b5c7-3fa1f7356ea6" TargetMode="External"/><Relationship Id="rId22" Type="http://schemas.openxmlformats.org/officeDocument/2006/relationships/hyperlink" Target="https://rijksictdashboard.nl/ict-activiteiten/ce9d570c-f711-4bb1-953b-01a62f444c03" TargetMode="External"/><Relationship Id="rId66" Type="http://schemas.openxmlformats.org/officeDocument/2006/relationships/hyperlink" Target="https://rijksictdashboard.nl/ict-activiteiten/ce9d570c-f711-4bb1-953b-01a62f444c03" TargetMode="External"/><Relationship Id="rId21" Type="http://schemas.openxmlformats.org/officeDocument/2006/relationships/hyperlink" Target="https://rijksictdashboard.nl/ict-activiteiten/09b1ce9a-294f-48db-96b9-bf5cb79305cc" TargetMode="External"/><Relationship Id="rId65" Type="http://schemas.openxmlformats.org/officeDocument/2006/relationships/hyperlink" Target="https://rijksictdashboard.nl/ict-activiteiten/09b1ce9a-294f-48db-96b9-bf5cb79305cc" TargetMode="External"/><Relationship Id="rId24" Type="http://schemas.openxmlformats.org/officeDocument/2006/relationships/hyperlink" Target="https://www.parlementairemonitor.nl/9353000/1/j9vvij5epmj1ey0/vm7yr0tfxszn" TargetMode="External"/><Relationship Id="rId68" Type="http://schemas.openxmlformats.org/officeDocument/2006/relationships/hyperlink" Target="https://rijksictdashboard.nl/ict-activiteiten/132afe97-ad4f-49fc-b789-f3010c85c893" TargetMode="External"/><Relationship Id="rId23" Type="http://schemas.openxmlformats.org/officeDocument/2006/relationships/hyperlink" Target="https://rijksictdashboard.nl/ict-activiteiten/f5a8b162-363e-480a-8d0f-e21c0eedae65" TargetMode="External"/><Relationship Id="rId67" Type="http://schemas.openxmlformats.org/officeDocument/2006/relationships/hyperlink" Target="https://rijksictdashboard.nl/ict-activiteiten/f5a8b162-363e-480a-8d0f-e21c0eedae65" TargetMode="External"/><Relationship Id="rId60" Type="http://schemas.openxmlformats.org/officeDocument/2006/relationships/hyperlink" Target="https://rijksictdashboard.nl/ict-activiteiten/85e1279b-0c14-45f1-b144-3144cf75c544" TargetMode="External"/><Relationship Id="rId26" Type="http://schemas.openxmlformats.org/officeDocument/2006/relationships/hyperlink" Target="https://rijksictdashboard.nl/ict-activiteiten/baa114a3-4559-407f-ba15-c4a30c800442" TargetMode="External"/><Relationship Id="rId25" Type="http://schemas.openxmlformats.org/officeDocument/2006/relationships/hyperlink" Target="https://rijksictdashboard.nl/ict-activiteiten/132afe97-ad4f-49fc-b789-f3010c85c893" TargetMode="External"/><Relationship Id="rId69" Type="http://schemas.openxmlformats.org/officeDocument/2006/relationships/hyperlink" Target="https://rijksictdashboard.nl/ict-activiteiten/baa114a3-4559-407f-ba15-c4a30c800442" TargetMode="External"/><Relationship Id="rId28" Type="http://schemas.openxmlformats.org/officeDocument/2006/relationships/hyperlink" Target="https://www.geobasisregistraties.nl/basisregistraties/adressen-en-gebouwen/bag-wet-en-regelgeving" TargetMode="External"/><Relationship Id="rId27" Type="http://schemas.openxmlformats.org/officeDocument/2006/relationships/hyperlink" Target="https://rijksictdashboard.nl/ict-activiteiten/1c2220dc-caea-45a3-8004-bfc173e3947f" TargetMode="External"/><Relationship Id="rId29" Type="http://schemas.openxmlformats.org/officeDocument/2006/relationships/hyperlink" Target="https://www.om.nl/onderwerpen/beleidsregels/aanwijzingen/executie/aanwijzing-om-strafbeschikking-2022a003" TargetMode="External"/><Relationship Id="rId51" Type="http://schemas.openxmlformats.org/officeDocument/2006/relationships/hyperlink" Target="https://rijksictdashboard.nl/ict-activiteiten/09b1ce9a-294f-48db-96b9-bf5cb79305cc" TargetMode="External"/><Relationship Id="rId50" Type="http://schemas.openxmlformats.org/officeDocument/2006/relationships/hyperlink" Target="https://rijksictdashboard.nl/ict-activiteiten/132afe97-ad4f-49fc-b789-f3010c85c893" TargetMode="External"/><Relationship Id="rId53" Type="http://schemas.openxmlformats.org/officeDocument/2006/relationships/hyperlink" Target="https://rijksictdashboard.nl/ict-activiteiten/e65803ab-6288-40f4-95bb-7b4ba269a327" TargetMode="External"/><Relationship Id="rId52" Type="http://schemas.openxmlformats.org/officeDocument/2006/relationships/hyperlink" Target="https://rijksictdashboard.nl/ict-activiteiten/85e1279b-0c14-45f1-b144-3144cf75c544" TargetMode="External"/><Relationship Id="rId11" Type="http://schemas.openxmlformats.org/officeDocument/2006/relationships/hyperlink" Target="https://zoek.officielebekendmakingen.nl/kst-36100-X-1.html" TargetMode="External"/><Relationship Id="rId55" Type="http://schemas.openxmlformats.org/officeDocument/2006/relationships/hyperlink" Target="https://rijksictdashboard.nl/ict-activiteiten/e404d751-2023-4ddb-86c1-5469bc63317f" TargetMode="External"/><Relationship Id="rId10" Type="http://schemas.openxmlformats.org/officeDocument/2006/relationships/hyperlink" Target="https://rijksictdashboard.nl/ict-activiteiten/44407368-191b-4ae7-b727-7eab039661b7" TargetMode="External"/><Relationship Id="rId54" Type="http://schemas.openxmlformats.org/officeDocument/2006/relationships/hyperlink" Target="https://rijksictdashboard.nl/ict-activiteiten/e404d751-2023-4ddb-86c1-5469bc63317f" TargetMode="External"/><Relationship Id="rId13" Type="http://schemas.openxmlformats.org/officeDocument/2006/relationships/hyperlink" Target="https://www.zorgcijfersdatabank.nl/toelichting/rapport-2022/medisch-specialistische-zorg" TargetMode="External"/><Relationship Id="rId57" Type="http://schemas.openxmlformats.org/officeDocument/2006/relationships/hyperlink" Target="https://rijksictdashboard.nl/ict-activiteiten/44407368-191b-4ae7-b727-7eab039661b7" TargetMode="External"/><Relationship Id="rId12" Type="http://schemas.openxmlformats.org/officeDocument/2006/relationships/hyperlink" Target="https://www.adviescollegeicttoetsing.nl/documenten/publicaties/2016/11/22/bit-advies-implementatie-vernieuwing-c2000" TargetMode="External"/><Relationship Id="rId56" Type="http://schemas.openxmlformats.org/officeDocument/2006/relationships/hyperlink" Target="https://rijksictdashboard.nl/ict-activiteiten/e65803ab-6288-40f4-95bb-7b4ba269a327" TargetMode="External"/><Relationship Id="rId15" Type="http://schemas.openxmlformats.org/officeDocument/2006/relationships/hyperlink" Target="https://rijksictdashboard.nl/ict-activiteiten/f50705ba-ec4e-4893-ac46-ff5ed127e922" TargetMode="External"/><Relationship Id="rId59" Type="http://schemas.openxmlformats.org/officeDocument/2006/relationships/hyperlink" Target="https://rijksictdashboard.nl/ict-activiteiten/f50705ba-ec4e-4893-ac46-ff5ed127e922" TargetMode="External"/><Relationship Id="rId14" Type="http://schemas.openxmlformats.org/officeDocument/2006/relationships/hyperlink" Target="https://rijksictdashboard.nl/ict-activiteiten/7322396e-dea8-4d38-9273-c197eb79180c" TargetMode="External"/><Relationship Id="rId58" Type="http://schemas.openxmlformats.org/officeDocument/2006/relationships/hyperlink" Target="https://rijksictdashboard.nl/ict-activiteiten/7322396e-dea8-4d38-9273-c197eb79180c" TargetMode="External"/><Relationship Id="rId17" Type="http://schemas.openxmlformats.org/officeDocument/2006/relationships/hyperlink" Target="https://rijksictdashboard.nl/ict-activiteiten/2de4f98a-9342-40b8-b5c4-c76d6269cc92" TargetMode="External"/><Relationship Id="rId16" Type="http://schemas.openxmlformats.org/officeDocument/2006/relationships/hyperlink" Target="https://rijksictdashboard.nl/ict-activiteiten/85e1279b-0c14-45f1-b144-3144cf75c544" TargetMode="External"/><Relationship Id="rId19" Type="http://schemas.openxmlformats.org/officeDocument/2006/relationships/hyperlink" Target="https://rijksictdashboard.nl/ict-activiteiten/6a20e4b6-c125-48c5-b5c7-3fa1f7356ea6" TargetMode="External"/><Relationship Id="rId18" Type="http://schemas.openxmlformats.org/officeDocument/2006/relationships/hyperlink" Target="https://rijksictdashboard.nl/ict-activiteiten/7bec8d3e-7062-41fb-a2e3-bdc1edf7c5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inbzk.nl/aspx/download.aspx?file=/contents/pages/90083/bijlageinventarisatiegroteict-projecten.pdf" TargetMode="External"/><Relationship Id="rId2" Type="http://schemas.openxmlformats.org/officeDocument/2006/relationships/hyperlink" Target="http://www.cs.vu.nl/~x/ipm/ipm.pdf" TargetMode="External"/><Relationship Id="rId3" Type="http://schemas.openxmlformats.org/officeDocument/2006/relationships/hyperlink" Target="http://www.statistics.dnb.nl/index.cgi?lang=nl&amp;todo=Koersen" TargetMode="External"/><Relationship Id="rId4" Type="http://schemas.openxmlformats.org/officeDocument/2006/relationships/hyperlink" Target="http://statline.cbs.nl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5"/>
    <col customWidth="1" min="2" max="2" width="37.88"/>
    <col customWidth="1" min="3" max="3" width="12.0"/>
    <col customWidth="1" min="4" max="4" width="11.38"/>
    <col customWidth="1" min="5" max="5" width="14.75"/>
    <col customWidth="1" min="6" max="6" width="14.5"/>
    <col customWidth="1" min="7" max="7" width="12.38"/>
    <col customWidth="1" min="8" max="8" width="7.38"/>
    <col customWidth="1" min="9" max="9" width="12.38"/>
    <col customWidth="1" min="10" max="10" width="16.0"/>
    <col customWidth="1" min="11" max="11" width="11.63"/>
    <col customWidth="1" min="12" max="12" width="8.63"/>
    <col customWidth="1" min="13" max="15" width="8.88"/>
    <col customWidth="1" min="16" max="16" width="13.5"/>
    <col customWidth="1" min="17" max="17" width="16.0"/>
    <col customWidth="1" min="18" max="23" width="13.38"/>
    <col customWidth="1" min="24" max="24" width="8.88"/>
    <col customWidth="1" min="25" max="86" width="10.0"/>
  </cols>
  <sheetData>
    <row r="1" ht="18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ht="15.75" customHeight="1">
      <c r="A2" s="2"/>
      <c r="B2" s="2"/>
      <c r="C2" s="2"/>
      <c r="D2" s="2"/>
      <c r="E2" s="2"/>
      <c r="F2" s="2"/>
      <c r="G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ht="15.75" customHeight="1">
      <c r="B3" s="4" t="s">
        <v>2</v>
      </c>
      <c r="C3" s="5">
        <f>SUM(N10:N82)</f>
        <v>2362.495045</v>
      </c>
      <c r="E3" s="3" t="s">
        <v>3</v>
      </c>
      <c r="F3" s="6">
        <v>0.178758</v>
      </c>
      <c r="G3" s="7">
        <f>C7/100*F3*SUM(C9:C81)</f>
        <v>1040.419825</v>
      </c>
      <c r="H3" s="7"/>
      <c r="J3" s="8" t="s">
        <v>4</v>
      </c>
    </row>
    <row r="4" ht="15.75" customHeight="1">
      <c r="B4" s="4" t="s">
        <v>5</v>
      </c>
      <c r="C4" s="9">
        <f>C3/SUM(C10:C82)/C7*100</f>
        <v>0.4044557931</v>
      </c>
      <c r="E4" s="3" t="s">
        <v>6</v>
      </c>
      <c r="F4" s="6">
        <f>(C4-F3)</f>
        <v>0.2256977931</v>
      </c>
      <c r="G4" s="7">
        <f>C7/100*F4*SUM(C10:C82)</f>
        <v>1318.339178</v>
      </c>
      <c r="H4" s="7"/>
      <c r="J4" s="8" t="s">
        <v>7</v>
      </c>
      <c r="X4" s="10" t="s">
        <v>8</v>
      </c>
    </row>
    <row r="5" ht="12.75" customHeight="1">
      <c r="X5" s="11" t="s">
        <v>9</v>
      </c>
    </row>
    <row r="6" ht="12.75" customHeight="1">
      <c r="B6" s="3" t="s">
        <v>10</v>
      </c>
      <c r="C6" s="8">
        <v>100.0</v>
      </c>
      <c r="X6" s="12" t="s">
        <v>11</v>
      </c>
    </row>
    <row r="7" ht="12.75" customHeight="1">
      <c r="B7" s="3" t="s">
        <v>12</v>
      </c>
      <c r="C7" s="8">
        <v>100.0</v>
      </c>
      <c r="U7" s="3" t="s">
        <v>13</v>
      </c>
      <c r="W7" s="3" t="s">
        <v>14</v>
      </c>
    </row>
    <row r="8" ht="12.75" customHeight="1">
      <c r="O8" s="8" t="s">
        <v>15</v>
      </c>
      <c r="W8" s="3" t="s">
        <v>16</v>
      </c>
    </row>
    <row r="9" ht="12.75" customHeight="1">
      <c r="A9" s="10" t="s">
        <v>17</v>
      </c>
      <c r="B9" s="10" t="s">
        <v>18</v>
      </c>
      <c r="C9" s="13" t="s">
        <v>19</v>
      </c>
      <c r="D9" s="10" t="s">
        <v>20</v>
      </c>
      <c r="E9" s="10" t="s">
        <v>21</v>
      </c>
      <c r="F9" s="13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28</v>
      </c>
      <c r="M9" s="10" t="s">
        <v>29</v>
      </c>
      <c r="N9" s="10" t="s">
        <v>30</v>
      </c>
      <c r="O9" s="10"/>
      <c r="P9" s="10" t="s">
        <v>31</v>
      </c>
      <c r="Q9" s="13" t="s">
        <v>32</v>
      </c>
      <c r="R9" s="10" t="s">
        <v>33</v>
      </c>
      <c r="S9" s="13" t="s">
        <v>34</v>
      </c>
      <c r="T9" s="13" t="s">
        <v>35</v>
      </c>
      <c r="U9" s="13" t="s">
        <v>36</v>
      </c>
      <c r="V9" s="13" t="s">
        <v>37</v>
      </c>
      <c r="W9" s="10" t="s">
        <v>38</v>
      </c>
      <c r="X9" s="10" t="s">
        <v>39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</row>
    <row r="10" ht="12.75" customHeight="1">
      <c r="A10" s="3" t="s">
        <v>40</v>
      </c>
      <c r="B10" s="3" t="s">
        <v>41</v>
      </c>
      <c r="C10" s="3">
        <v>700.0</v>
      </c>
      <c r="D10" s="3">
        <v>42.0</v>
      </c>
      <c r="E10" s="3" t="s">
        <v>42</v>
      </c>
      <c r="F10" s="3">
        <v>12.0</v>
      </c>
      <c r="G10" s="3">
        <f t="shared" ref="G10:G82" si="1">C10*D10/100</f>
        <v>294</v>
      </c>
      <c r="H10" s="3">
        <f t="shared" ref="H10:H82" si="2">G10/F10</f>
        <v>24.5</v>
      </c>
      <c r="I10" s="3">
        <f t="shared" ref="I10:I82" si="3">G10*$C$6/100</f>
        <v>294</v>
      </c>
      <c r="J10" s="7">
        <f t="shared" ref="J10:J82" si="4">I10/1.178206706*1.0658*1000000</f>
        <v>265950956.1</v>
      </c>
      <c r="K10" s="3" t="str">
        <f t="shared" ref="K10:K20" si="5">IF(A10="DEF","Military","MIS")</f>
        <v>MIS</v>
      </c>
      <c r="L10" s="7">
        <f t="shared" ref="L10:L82" si="6">IF(K10="Outsourced",0.04744419*POWER(J10,0.7139649),IF(K10="Military",0.05190356*POWER(J10,0.680408),0.07406812*POWER(J10,0.6877308)))</f>
        <v>46092.13609</v>
      </c>
      <c r="M10" s="6">
        <f t="shared" ref="M10:M82" si="7">IF(K10="Military",0.34066666*(1-EXP(-0.01631659*POWER(L10,0.47035413))),0.480552258*(1-EXP(-0.007488657*POWER(L10,0.587382996))))</f>
        <v>0.4726597928</v>
      </c>
      <c r="N10" s="14">
        <f t="shared" ref="N10:N82" si="8">C10*M10*$C$7/100</f>
        <v>330.8618549</v>
      </c>
      <c r="P10" s="3" t="s">
        <v>43</v>
      </c>
      <c r="Q10" s="3" t="str">
        <f t="shared" ref="Q10:Q82" si="9">IF(OR(P10="active", P10="completed"), "completed", P10)
</f>
        <v>completed</v>
      </c>
      <c r="R10" s="3" t="s">
        <v>44</v>
      </c>
      <c r="S10" s="8">
        <f t="shared" ref="S10:S82" si="10">IF(ISBLANK(T10), "", T10+F10)</f>
        <v>4</v>
      </c>
      <c r="T10" s="8">
        <v>-8.0</v>
      </c>
      <c r="U10" s="3">
        <v>115.91</v>
      </c>
      <c r="V10" s="3">
        <f t="shared" ref="V10:V76" si="11">IF(ISBLANK(U10), "", U10 - C10)</f>
        <v>-584.09</v>
      </c>
      <c r="X10" s="15" t="s">
        <v>45</v>
      </c>
    </row>
    <row r="11" ht="12.75" customHeight="1">
      <c r="A11" s="3" t="s">
        <v>46</v>
      </c>
      <c r="B11" s="3" t="s">
        <v>47</v>
      </c>
      <c r="C11" s="3">
        <v>300.0</v>
      </c>
      <c r="D11" s="3">
        <v>75.0</v>
      </c>
      <c r="E11" s="3" t="s">
        <v>48</v>
      </c>
      <c r="F11" s="3">
        <v>9.0</v>
      </c>
      <c r="G11" s="3">
        <f t="shared" si="1"/>
        <v>225</v>
      </c>
      <c r="H11" s="3">
        <f t="shared" si="2"/>
        <v>25</v>
      </c>
      <c r="I11" s="3">
        <f t="shared" si="3"/>
        <v>225</v>
      </c>
      <c r="J11" s="7">
        <f t="shared" si="4"/>
        <v>203533895</v>
      </c>
      <c r="K11" s="3" t="str">
        <f t="shared" si="5"/>
        <v>MIS</v>
      </c>
      <c r="L11" s="7">
        <f t="shared" si="6"/>
        <v>38347.46998</v>
      </c>
      <c r="M11" s="6">
        <f t="shared" si="7"/>
        <v>0.4685301309</v>
      </c>
      <c r="N11" s="14">
        <f t="shared" si="8"/>
        <v>140.5590393</v>
      </c>
      <c r="P11" s="3" t="s">
        <v>43</v>
      </c>
      <c r="Q11" s="3" t="str">
        <f t="shared" si="9"/>
        <v>completed</v>
      </c>
      <c r="S11" s="8" t="str">
        <f t="shared" si="10"/>
        <v/>
      </c>
      <c r="V11" s="3" t="str">
        <f t="shared" si="11"/>
        <v/>
      </c>
      <c r="X11" s="15" t="s">
        <v>49</v>
      </c>
    </row>
    <row r="12" ht="12.75" customHeight="1">
      <c r="A12" s="3" t="s">
        <v>50</v>
      </c>
      <c r="B12" s="3" t="s">
        <v>51</v>
      </c>
      <c r="C12" s="3">
        <v>226.0</v>
      </c>
      <c r="D12" s="3">
        <v>99.0</v>
      </c>
      <c r="E12" s="3" t="s">
        <v>48</v>
      </c>
      <c r="F12" s="3">
        <v>9.0</v>
      </c>
      <c r="G12" s="3">
        <f t="shared" si="1"/>
        <v>223.74</v>
      </c>
      <c r="H12" s="3">
        <f t="shared" si="2"/>
        <v>24.86</v>
      </c>
      <c r="I12" s="3">
        <f t="shared" si="3"/>
        <v>223.74</v>
      </c>
      <c r="J12" s="7">
        <f t="shared" si="4"/>
        <v>202394105.2</v>
      </c>
      <c r="K12" s="3" t="str">
        <f t="shared" si="5"/>
        <v>MIS</v>
      </c>
      <c r="L12" s="7">
        <f t="shared" si="6"/>
        <v>38199.65321</v>
      </c>
      <c r="M12" s="6">
        <f t="shared" si="7"/>
        <v>0.468429237</v>
      </c>
      <c r="N12" s="14">
        <f t="shared" si="8"/>
        <v>105.8650076</v>
      </c>
      <c r="P12" s="3" t="s">
        <v>43</v>
      </c>
      <c r="Q12" s="3" t="str">
        <f t="shared" si="9"/>
        <v>completed</v>
      </c>
      <c r="S12" s="8" t="str">
        <f t="shared" si="10"/>
        <v/>
      </c>
      <c r="V12" s="3" t="str">
        <f t="shared" si="11"/>
        <v/>
      </c>
      <c r="X12" s="16" t="s">
        <v>52</v>
      </c>
    </row>
    <row r="13" ht="12.75" customHeight="1">
      <c r="A13" s="3" t="s">
        <v>50</v>
      </c>
      <c r="B13" s="3" t="s">
        <v>53</v>
      </c>
      <c r="C13" s="3">
        <v>275.0</v>
      </c>
      <c r="D13" s="3">
        <v>81.0</v>
      </c>
      <c r="E13" s="3" t="s">
        <v>54</v>
      </c>
      <c r="F13" s="3">
        <v>3.0</v>
      </c>
      <c r="G13" s="3">
        <f t="shared" si="1"/>
        <v>222.75</v>
      </c>
      <c r="H13" s="3">
        <f t="shared" si="2"/>
        <v>74.25</v>
      </c>
      <c r="I13" s="3">
        <f t="shared" si="3"/>
        <v>222.75</v>
      </c>
      <c r="J13" s="7">
        <f t="shared" si="4"/>
        <v>201498556.1</v>
      </c>
      <c r="K13" s="3" t="str">
        <f t="shared" si="5"/>
        <v>MIS</v>
      </c>
      <c r="L13" s="7">
        <f t="shared" si="6"/>
        <v>38083.32904</v>
      </c>
      <c r="M13" s="6">
        <f t="shared" si="7"/>
        <v>0.4683491293</v>
      </c>
      <c r="N13" s="14">
        <f t="shared" si="8"/>
        <v>128.7960106</v>
      </c>
      <c r="P13" s="3" t="s">
        <v>43</v>
      </c>
      <c r="Q13" s="3" t="str">
        <f t="shared" si="9"/>
        <v>completed</v>
      </c>
      <c r="R13" s="3" t="s">
        <v>55</v>
      </c>
      <c r="S13" s="8">
        <f t="shared" si="10"/>
        <v>6</v>
      </c>
      <c r="T13" s="8">
        <v>3.0</v>
      </c>
      <c r="U13" s="3">
        <v>240.0</v>
      </c>
      <c r="V13" s="3">
        <f t="shared" si="11"/>
        <v>-35</v>
      </c>
      <c r="W13" s="3" t="s">
        <v>56</v>
      </c>
      <c r="X13" s="15" t="s">
        <v>57</v>
      </c>
    </row>
    <row r="14" ht="12.75" customHeight="1">
      <c r="A14" s="3" t="s">
        <v>50</v>
      </c>
      <c r="B14" s="3" t="s">
        <v>58</v>
      </c>
      <c r="C14" s="3">
        <v>200.0</v>
      </c>
      <c r="D14" s="3">
        <v>90.0</v>
      </c>
      <c r="E14" s="3" t="s">
        <v>59</v>
      </c>
      <c r="F14" s="3">
        <v>9.0</v>
      </c>
      <c r="G14" s="3">
        <f t="shared" si="1"/>
        <v>180</v>
      </c>
      <c r="H14" s="3">
        <f t="shared" si="2"/>
        <v>20</v>
      </c>
      <c r="I14" s="3">
        <f t="shared" si="3"/>
        <v>180</v>
      </c>
      <c r="J14" s="7">
        <f t="shared" si="4"/>
        <v>162827116</v>
      </c>
      <c r="K14" s="3" t="str">
        <f t="shared" si="5"/>
        <v>MIS</v>
      </c>
      <c r="L14" s="7">
        <f t="shared" si="6"/>
        <v>32891.88138</v>
      </c>
      <c r="M14" s="6">
        <f t="shared" si="7"/>
        <v>0.4640307461</v>
      </c>
      <c r="N14" s="14">
        <f t="shared" si="8"/>
        <v>92.80614922</v>
      </c>
      <c r="P14" s="3" t="s">
        <v>60</v>
      </c>
      <c r="Q14" s="3" t="str">
        <f t="shared" si="9"/>
        <v>suspended</v>
      </c>
      <c r="S14" s="8" t="str">
        <f t="shared" si="10"/>
        <v/>
      </c>
      <c r="V14" s="3" t="str">
        <f t="shared" si="11"/>
        <v/>
      </c>
      <c r="X14" s="3" t="s">
        <v>61</v>
      </c>
    </row>
    <row r="15" ht="12.75" customHeight="1">
      <c r="A15" s="3" t="s">
        <v>62</v>
      </c>
      <c r="B15" s="3" t="s">
        <v>63</v>
      </c>
      <c r="C15" s="3">
        <v>260.0</v>
      </c>
      <c r="D15" s="3">
        <v>62.0</v>
      </c>
      <c r="E15" s="3" t="s">
        <v>64</v>
      </c>
      <c r="F15" s="3">
        <v>4.0</v>
      </c>
      <c r="G15" s="3">
        <f t="shared" si="1"/>
        <v>161.2</v>
      </c>
      <c r="H15" s="3">
        <f t="shared" si="2"/>
        <v>40.3</v>
      </c>
      <c r="I15" s="3">
        <f t="shared" si="3"/>
        <v>161.2</v>
      </c>
      <c r="J15" s="7">
        <f t="shared" si="4"/>
        <v>145820728.3</v>
      </c>
      <c r="K15" s="3" t="str">
        <f t="shared" si="5"/>
        <v>MIS</v>
      </c>
      <c r="L15" s="7">
        <f t="shared" si="6"/>
        <v>30488.8662</v>
      </c>
      <c r="M15" s="6">
        <f t="shared" si="7"/>
        <v>0.4614166618</v>
      </c>
      <c r="N15" s="14">
        <f t="shared" si="8"/>
        <v>119.9683321</v>
      </c>
      <c r="P15" s="3" t="s">
        <v>43</v>
      </c>
      <c r="Q15" s="3" t="str">
        <f t="shared" si="9"/>
        <v>completed</v>
      </c>
      <c r="S15" s="8" t="str">
        <f t="shared" si="10"/>
        <v/>
      </c>
      <c r="V15" s="3" t="str">
        <f t="shared" si="11"/>
        <v/>
      </c>
      <c r="X15" s="16" t="s">
        <v>65</v>
      </c>
    </row>
    <row r="16" ht="12.75" customHeight="1">
      <c r="A16" s="3" t="s">
        <v>50</v>
      </c>
      <c r="B16" s="3" t="s">
        <v>66</v>
      </c>
      <c r="C16" s="3">
        <v>165.0</v>
      </c>
      <c r="D16" s="3">
        <v>94.0</v>
      </c>
      <c r="E16" s="3" t="s">
        <v>67</v>
      </c>
      <c r="F16" s="3">
        <v>5.0</v>
      </c>
      <c r="G16" s="3">
        <f t="shared" si="1"/>
        <v>155.1</v>
      </c>
      <c r="H16" s="3">
        <f t="shared" si="2"/>
        <v>31.02</v>
      </c>
      <c r="I16" s="3">
        <f t="shared" si="3"/>
        <v>155.1</v>
      </c>
      <c r="J16" s="7">
        <f t="shared" si="4"/>
        <v>140302698.3</v>
      </c>
      <c r="K16" s="3" t="str">
        <f t="shared" si="5"/>
        <v>MIS</v>
      </c>
      <c r="L16" s="7">
        <f t="shared" si="6"/>
        <v>29690.63975</v>
      </c>
      <c r="M16" s="6">
        <f t="shared" si="7"/>
        <v>0.4604387561</v>
      </c>
      <c r="N16" s="14">
        <f t="shared" si="8"/>
        <v>75.97239476</v>
      </c>
      <c r="P16" s="3" t="s">
        <v>43</v>
      </c>
      <c r="Q16" s="3" t="str">
        <f t="shared" si="9"/>
        <v>completed</v>
      </c>
      <c r="S16" s="8" t="str">
        <f t="shared" si="10"/>
        <v/>
      </c>
      <c r="V16" s="3" t="str">
        <f t="shared" si="11"/>
        <v/>
      </c>
      <c r="X16" s="16" t="s">
        <v>68</v>
      </c>
    </row>
    <row r="17" ht="12.75" customHeight="1">
      <c r="A17" s="3" t="s">
        <v>46</v>
      </c>
      <c r="B17" s="3" t="s">
        <v>69</v>
      </c>
      <c r="C17" s="3">
        <v>117.0</v>
      </c>
      <c r="D17" s="3">
        <v>100.0</v>
      </c>
      <c r="E17" s="3" t="s">
        <v>70</v>
      </c>
      <c r="F17" s="3">
        <v>5.0</v>
      </c>
      <c r="G17" s="3">
        <f t="shared" si="1"/>
        <v>117</v>
      </c>
      <c r="H17" s="3">
        <f t="shared" si="2"/>
        <v>23.4</v>
      </c>
      <c r="I17" s="3">
        <f t="shared" si="3"/>
        <v>117</v>
      </c>
      <c r="J17" s="7">
        <f t="shared" si="4"/>
        <v>105837625.4</v>
      </c>
      <c r="K17" s="3" t="str">
        <f t="shared" si="5"/>
        <v>MIS</v>
      </c>
      <c r="L17" s="7">
        <f t="shared" si="6"/>
        <v>24458.14236</v>
      </c>
      <c r="M17" s="6">
        <f t="shared" si="7"/>
        <v>0.4522494233</v>
      </c>
      <c r="N17" s="14">
        <f t="shared" si="8"/>
        <v>52.91318252</v>
      </c>
      <c r="P17" s="3" t="s">
        <v>71</v>
      </c>
      <c r="Q17" s="3" t="str">
        <f t="shared" si="9"/>
        <v>cancelled</v>
      </c>
      <c r="S17" s="8" t="str">
        <f t="shared" si="10"/>
        <v/>
      </c>
      <c r="V17" s="3" t="str">
        <f t="shared" si="11"/>
        <v/>
      </c>
      <c r="X17" s="3" t="s">
        <v>61</v>
      </c>
    </row>
    <row r="18" ht="12.75" customHeight="1">
      <c r="A18" s="3" t="s">
        <v>46</v>
      </c>
      <c r="B18" s="3" t="s">
        <v>72</v>
      </c>
      <c r="C18" s="3">
        <v>143.0</v>
      </c>
      <c r="D18" s="3">
        <v>80.0</v>
      </c>
      <c r="E18" s="3" t="s">
        <v>73</v>
      </c>
      <c r="F18" s="3">
        <v>9.0</v>
      </c>
      <c r="G18" s="3">
        <f t="shared" si="1"/>
        <v>114.4</v>
      </c>
      <c r="H18" s="3">
        <f t="shared" si="2"/>
        <v>12.71111111</v>
      </c>
      <c r="I18" s="3">
        <f t="shared" si="3"/>
        <v>114.4</v>
      </c>
      <c r="J18" s="7">
        <f t="shared" si="4"/>
        <v>103485678.2</v>
      </c>
      <c r="K18" s="3" t="str">
        <f t="shared" si="5"/>
        <v>MIS</v>
      </c>
      <c r="L18" s="7">
        <f t="shared" si="6"/>
        <v>24083.04115</v>
      </c>
      <c r="M18" s="6">
        <f t="shared" si="7"/>
        <v>0.4515157262</v>
      </c>
      <c r="N18" s="14">
        <f t="shared" si="8"/>
        <v>64.56674885</v>
      </c>
      <c r="P18" s="3" t="s">
        <v>71</v>
      </c>
      <c r="Q18" s="3" t="str">
        <f t="shared" si="9"/>
        <v>cancelled</v>
      </c>
      <c r="S18" s="8" t="str">
        <f t="shared" si="10"/>
        <v/>
      </c>
      <c r="V18" s="3" t="str">
        <f t="shared" si="11"/>
        <v/>
      </c>
      <c r="X18" s="3" t="s">
        <v>61</v>
      </c>
    </row>
    <row r="19" ht="12.75" customHeight="1">
      <c r="A19" s="3" t="s">
        <v>74</v>
      </c>
      <c r="B19" s="3" t="s">
        <v>75</v>
      </c>
      <c r="C19" s="3">
        <v>100.0</v>
      </c>
      <c r="D19" s="3">
        <v>90.0</v>
      </c>
      <c r="E19" s="17" t="s">
        <v>76</v>
      </c>
      <c r="F19" s="3">
        <f>POWER(G19,0.2911873)*1.537648</f>
        <v>5.700428826</v>
      </c>
      <c r="G19" s="3">
        <f t="shared" si="1"/>
        <v>90</v>
      </c>
      <c r="H19" s="3">
        <f t="shared" si="2"/>
        <v>15.78828589</v>
      </c>
      <c r="I19" s="3">
        <f t="shared" si="3"/>
        <v>90</v>
      </c>
      <c r="J19" s="7">
        <f t="shared" si="4"/>
        <v>81413558</v>
      </c>
      <c r="K19" s="3" t="str">
        <f t="shared" si="5"/>
        <v>MIS</v>
      </c>
      <c r="L19" s="7">
        <f t="shared" si="6"/>
        <v>20420.25286</v>
      </c>
      <c r="M19" s="6">
        <f t="shared" si="7"/>
        <v>0.4429241766</v>
      </c>
      <c r="N19" s="14">
        <f t="shared" si="8"/>
        <v>44.29241766</v>
      </c>
      <c r="P19" s="3" t="s">
        <v>43</v>
      </c>
      <c r="Q19" s="3" t="str">
        <f t="shared" si="9"/>
        <v>completed</v>
      </c>
      <c r="S19" s="8" t="str">
        <f t="shared" si="10"/>
        <v/>
      </c>
      <c r="V19" s="3" t="str">
        <f t="shared" si="11"/>
        <v/>
      </c>
      <c r="X19" s="15" t="s">
        <v>77</v>
      </c>
    </row>
    <row r="20" ht="12.75" customHeight="1">
      <c r="A20" s="3" t="s">
        <v>50</v>
      </c>
      <c r="B20" s="18" t="s">
        <v>78</v>
      </c>
      <c r="C20" s="3">
        <v>78.0</v>
      </c>
      <c r="D20" s="3">
        <v>100.0</v>
      </c>
      <c r="E20" s="3" t="s">
        <v>54</v>
      </c>
      <c r="F20" s="3">
        <v>3.0</v>
      </c>
      <c r="G20" s="3">
        <f t="shared" si="1"/>
        <v>78</v>
      </c>
      <c r="H20" s="3">
        <f t="shared" si="2"/>
        <v>26</v>
      </c>
      <c r="I20" s="3">
        <f t="shared" si="3"/>
        <v>78</v>
      </c>
      <c r="J20" s="7">
        <f t="shared" si="4"/>
        <v>70558416.94</v>
      </c>
      <c r="K20" s="3" t="str">
        <f t="shared" si="5"/>
        <v>MIS</v>
      </c>
      <c r="L20" s="7">
        <f t="shared" si="6"/>
        <v>18506.32079</v>
      </c>
      <c r="M20" s="6">
        <f t="shared" si="7"/>
        <v>0.4371365543</v>
      </c>
      <c r="N20" s="14">
        <f t="shared" si="8"/>
        <v>34.09665124</v>
      </c>
      <c r="P20" s="3" t="s">
        <v>43</v>
      </c>
      <c r="Q20" s="3" t="str">
        <f t="shared" si="9"/>
        <v>completed</v>
      </c>
      <c r="R20" s="3" t="s">
        <v>44</v>
      </c>
      <c r="S20" s="8">
        <f t="shared" si="10"/>
        <v>5</v>
      </c>
      <c r="T20" s="8">
        <v>2.0</v>
      </c>
      <c r="U20" s="3">
        <v>175.3</v>
      </c>
      <c r="V20" s="3">
        <f t="shared" si="11"/>
        <v>97.3</v>
      </c>
      <c r="W20" s="3" t="s">
        <v>79</v>
      </c>
      <c r="X20" s="15" t="s">
        <v>80</v>
      </c>
    </row>
    <row r="21" ht="12.75" customHeight="1">
      <c r="A21" s="3" t="s">
        <v>81</v>
      </c>
      <c r="B21" s="3" t="s">
        <v>82</v>
      </c>
      <c r="C21" s="3">
        <v>77.3</v>
      </c>
      <c r="D21" s="3">
        <v>100.0</v>
      </c>
      <c r="E21" s="3" t="s">
        <v>83</v>
      </c>
      <c r="F21" s="3">
        <v>4.0</v>
      </c>
      <c r="G21" s="3">
        <f t="shared" si="1"/>
        <v>77.3</v>
      </c>
      <c r="H21" s="3">
        <f t="shared" si="2"/>
        <v>19.325</v>
      </c>
      <c r="I21" s="3">
        <f t="shared" si="3"/>
        <v>77.3</v>
      </c>
      <c r="J21" s="7">
        <f t="shared" si="4"/>
        <v>69925200.37</v>
      </c>
      <c r="K21" s="3" t="s">
        <v>84</v>
      </c>
      <c r="L21" s="7">
        <f t="shared" si="6"/>
        <v>18391.94016</v>
      </c>
      <c r="M21" s="6">
        <f t="shared" si="7"/>
        <v>0.4367554798</v>
      </c>
      <c r="N21" s="14">
        <f t="shared" si="8"/>
        <v>33.76119859</v>
      </c>
      <c r="P21" s="3" t="s">
        <v>43</v>
      </c>
      <c r="Q21" s="3" t="str">
        <f t="shared" si="9"/>
        <v>completed</v>
      </c>
      <c r="S21" s="8" t="str">
        <f t="shared" si="10"/>
        <v/>
      </c>
      <c r="V21" s="3" t="str">
        <f t="shared" si="11"/>
        <v/>
      </c>
      <c r="X21" s="16" t="s">
        <v>85</v>
      </c>
    </row>
    <row r="22" ht="12.75" customHeight="1">
      <c r="A22" s="3" t="s">
        <v>62</v>
      </c>
      <c r="B22" s="3" t="s">
        <v>86</v>
      </c>
      <c r="C22" s="3">
        <v>127.0</v>
      </c>
      <c r="D22" s="3">
        <v>60.0</v>
      </c>
      <c r="E22" s="3" t="s">
        <v>87</v>
      </c>
      <c r="F22" s="3">
        <v>2.8</v>
      </c>
      <c r="G22" s="3">
        <f t="shared" si="1"/>
        <v>76.2</v>
      </c>
      <c r="H22" s="3">
        <f t="shared" si="2"/>
        <v>27.21428571</v>
      </c>
      <c r="I22" s="3">
        <f t="shared" si="3"/>
        <v>76.2</v>
      </c>
      <c r="J22" s="7">
        <f t="shared" si="4"/>
        <v>68930145.78</v>
      </c>
      <c r="K22" s="3" t="str">
        <f t="shared" ref="K22:K28" si="12">IF(A22="DEF","Military","MIS")</f>
        <v>MIS</v>
      </c>
      <c r="L22" s="7">
        <f t="shared" si="6"/>
        <v>18211.54324</v>
      </c>
      <c r="M22" s="6">
        <f t="shared" si="7"/>
        <v>0.4361456241</v>
      </c>
      <c r="N22" s="14">
        <f t="shared" si="8"/>
        <v>55.39049426</v>
      </c>
      <c r="P22" s="3" t="s">
        <v>71</v>
      </c>
      <c r="Q22" s="3" t="str">
        <f t="shared" si="9"/>
        <v>cancelled</v>
      </c>
      <c r="S22" s="8" t="str">
        <f t="shared" si="10"/>
        <v/>
      </c>
      <c r="V22" s="3" t="str">
        <f t="shared" si="11"/>
        <v/>
      </c>
      <c r="X22" s="3" t="s">
        <v>61</v>
      </c>
    </row>
    <row r="23" ht="12.75" customHeight="1">
      <c r="A23" s="3" t="s">
        <v>40</v>
      </c>
      <c r="B23" s="3" t="s">
        <v>88</v>
      </c>
      <c r="C23" s="3">
        <v>84.5</v>
      </c>
      <c r="D23" s="3">
        <v>90.0</v>
      </c>
      <c r="E23" s="3" t="s">
        <v>89</v>
      </c>
      <c r="F23" s="3">
        <v>4.0</v>
      </c>
      <c r="G23" s="3">
        <f t="shared" si="1"/>
        <v>76.05</v>
      </c>
      <c r="H23" s="3">
        <f t="shared" si="2"/>
        <v>19.0125</v>
      </c>
      <c r="I23" s="3">
        <f t="shared" si="3"/>
        <v>76.05</v>
      </c>
      <c r="J23" s="7">
        <f t="shared" si="4"/>
        <v>68794456.51</v>
      </c>
      <c r="K23" s="3" t="str">
        <f t="shared" si="12"/>
        <v>MIS</v>
      </c>
      <c r="L23" s="7">
        <f t="shared" si="6"/>
        <v>18186.88085</v>
      </c>
      <c r="M23" s="6">
        <f t="shared" si="7"/>
        <v>0.4360613974</v>
      </c>
      <c r="N23" s="14">
        <f t="shared" si="8"/>
        <v>36.84718808</v>
      </c>
      <c r="P23" s="8" t="s">
        <v>90</v>
      </c>
      <c r="Q23" s="3" t="str">
        <f t="shared" si="9"/>
        <v>unknown</v>
      </c>
      <c r="S23" s="8" t="str">
        <f t="shared" si="10"/>
        <v/>
      </c>
      <c r="V23" s="3" t="str">
        <f t="shared" si="11"/>
        <v/>
      </c>
    </row>
    <row r="24" ht="12.75" customHeight="1">
      <c r="A24" s="3" t="s">
        <v>74</v>
      </c>
      <c r="B24" s="3" t="s">
        <v>91</v>
      </c>
      <c r="C24" s="3">
        <v>72.5</v>
      </c>
      <c r="D24" s="3">
        <v>100.0</v>
      </c>
      <c r="E24" s="3" t="s">
        <v>92</v>
      </c>
      <c r="F24" s="3">
        <v>3.0</v>
      </c>
      <c r="G24" s="3">
        <f t="shared" si="1"/>
        <v>72.5</v>
      </c>
      <c r="H24" s="3">
        <f t="shared" si="2"/>
        <v>24.16666667</v>
      </c>
      <c r="I24" s="3">
        <f t="shared" si="3"/>
        <v>72.5</v>
      </c>
      <c r="J24" s="7">
        <f t="shared" si="4"/>
        <v>65583143.95</v>
      </c>
      <c r="K24" s="3" t="str">
        <f t="shared" si="12"/>
        <v>MIS</v>
      </c>
      <c r="L24" s="7">
        <f t="shared" si="6"/>
        <v>17598.68009</v>
      </c>
      <c r="M24" s="6">
        <f t="shared" si="7"/>
        <v>0.4339896996</v>
      </c>
      <c r="N24" s="14">
        <f t="shared" si="8"/>
        <v>31.46425322</v>
      </c>
      <c r="P24" s="3" t="s">
        <v>43</v>
      </c>
      <c r="Q24" s="3" t="str">
        <f t="shared" si="9"/>
        <v>completed</v>
      </c>
      <c r="S24" s="8" t="str">
        <f t="shared" si="10"/>
        <v/>
      </c>
      <c r="V24" s="3" t="str">
        <f t="shared" si="11"/>
        <v/>
      </c>
      <c r="X24" s="16" t="s">
        <v>93</v>
      </c>
    </row>
    <row r="25" ht="12.75" customHeight="1">
      <c r="A25" s="3" t="s">
        <v>94</v>
      </c>
      <c r="B25" s="3" t="s">
        <v>95</v>
      </c>
      <c r="C25" s="3">
        <v>94.5</v>
      </c>
      <c r="D25" s="3">
        <v>75.0</v>
      </c>
      <c r="E25" s="3" t="s">
        <v>96</v>
      </c>
      <c r="F25" s="3">
        <v>8.0</v>
      </c>
      <c r="G25" s="3">
        <f t="shared" si="1"/>
        <v>70.875</v>
      </c>
      <c r="H25" s="3">
        <f t="shared" si="2"/>
        <v>8.859375</v>
      </c>
      <c r="I25" s="3">
        <f t="shared" si="3"/>
        <v>70.875</v>
      </c>
      <c r="J25" s="7">
        <f t="shared" si="4"/>
        <v>64113176.93</v>
      </c>
      <c r="K25" s="3" t="str">
        <f t="shared" si="12"/>
        <v>MIS</v>
      </c>
      <c r="L25" s="7">
        <f t="shared" si="6"/>
        <v>17326.44371</v>
      </c>
      <c r="M25" s="6">
        <f t="shared" si="7"/>
        <v>0.4329883784</v>
      </c>
      <c r="N25" s="14">
        <f t="shared" si="8"/>
        <v>40.91740176</v>
      </c>
      <c r="P25" s="3" t="s">
        <v>90</v>
      </c>
      <c r="Q25" s="3" t="str">
        <f t="shared" si="9"/>
        <v>unknown</v>
      </c>
      <c r="S25" s="8" t="str">
        <f t="shared" si="10"/>
        <v/>
      </c>
      <c r="V25" s="3" t="str">
        <f t="shared" si="11"/>
        <v/>
      </c>
    </row>
    <row r="26" ht="12.75" customHeight="1">
      <c r="A26" s="3" t="s">
        <v>97</v>
      </c>
      <c r="B26" s="3" t="s">
        <v>98</v>
      </c>
      <c r="C26" s="3">
        <v>162.0</v>
      </c>
      <c r="D26" s="3">
        <v>35.0</v>
      </c>
      <c r="E26" s="3" t="s">
        <v>99</v>
      </c>
      <c r="F26" s="3">
        <v>7.0</v>
      </c>
      <c r="G26" s="3">
        <f t="shared" si="1"/>
        <v>56.7</v>
      </c>
      <c r="H26" s="3">
        <f t="shared" si="2"/>
        <v>8.1</v>
      </c>
      <c r="I26" s="3">
        <f t="shared" si="3"/>
        <v>56.7</v>
      </c>
      <c r="J26" s="7">
        <f t="shared" si="4"/>
        <v>51290541.54</v>
      </c>
      <c r="K26" s="3" t="str">
        <f t="shared" si="12"/>
        <v>MIS</v>
      </c>
      <c r="L26" s="7">
        <f t="shared" si="6"/>
        <v>14861.45844</v>
      </c>
      <c r="M26" s="6">
        <f t="shared" si="7"/>
        <v>0.4224945326</v>
      </c>
      <c r="N26" s="14">
        <f t="shared" si="8"/>
        <v>68.44411429</v>
      </c>
      <c r="P26" s="3" t="s">
        <v>43</v>
      </c>
      <c r="Q26" s="3" t="str">
        <f t="shared" si="9"/>
        <v>completed</v>
      </c>
      <c r="S26" s="8" t="str">
        <f t="shared" si="10"/>
        <v/>
      </c>
      <c r="V26" s="3" t="str">
        <f t="shared" si="11"/>
        <v/>
      </c>
      <c r="X26" s="16" t="s">
        <v>100</v>
      </c>
    </row>
    <row r="27" ht="12.75" customHeight="1">
      <c r="A27" s="3" t="s">
        <v>74</v>
      </c>
      <c r="B27" s="3" t="s">
        <v>101</v>
      </c>
      <c r="C27" s="3">
        <v>50.0</v>
      </c>
      <c r="D27" s="3">
        <v>100.0</v>
      </c>
      <c r="E27" s="3" t="s">
        <v>102</v>
      </c>
      <c r="F27" s="3">
        <v>10.0</v>
      </c>
      <c r="G27" s="3">
        <f t="shared" si="1"/>
        <v>50</v>
      </c>
      <c r="H27" s="3">
        <f t="shared" si="2"/>
        <v>5</v>
      </c>
      <c r="I27" s="3">
        <f t="shared" si="3"/>
        <v>50</v>
      </c>
      <c r="J27" s="7">
        <f t="shared" si="4"/>
        <v>45229754.45</v>
      </c>
      <c r="K27" s="3" t="str">
        <f t="shared" si="12"/>
        <v>MIS</v>
      </c>
      <c r="L27" s="7">
        <f t="shared" si="6"/>
        <v>13630.20386</v>
      </c>
      <c r="M27" s="6">
        <f t="shared" si="7"/>
        <v>0.4160874639</v>
      </c>
      <c r="N27" s="14">
        <f t="shared" si="8"/>
        <v>20.8043732</v>
      </c>
      <c r="P27" s="3" t="s">
        <v>43</v>
      </c>
      <c r="Q27" s="3" t="str">
        <f t="shared" si="9"/>
        <v>completed</v>
      </c>
      <c r="R27" s="3" t="s">
        <v>103</v>
      </c>
      <c r="S27" s="8">
        <f t="shared" si="10"/>
        <v>11</v>
      </c>
      <c r="T27" s="8">
        <v>1.0</v>
      </c>
      <c r="U27" s="3">
        <v>4.2</v>
      </c>
      <c r="V27" s="3">
        <f t="shared" si="11"/>
        <v>-45.8</v>
      </c>
      <c r="W27" s="3" t="s">
        <v>56</v>
      </c>
      <c r="X27" s="15" t="s">
        <v>104</v>
      </c>
    </row>
    <row r="28" ht="12.75" customHeight="1">
      <c r="A28" s="3" t="s">
        <v>46</v>
      </c>
      <c r="B28" s="3" t="s">
        <v>105</v>
      </c>
      <c r="C28" s="3">
        <v>62.0</v>
      </c>
      <c r="D28" s="3">
        <v>80.0</v>
      </c>
      <c r="E28" s="3" t="s">
        <v>106</v>
      </c>
      <c r="F28" s="3">
        <v>6.0</v>
      </c>
      <c r="G28" s="3">
        <f t="shared" si="1"/>
        <v>49.6</v>
      </c>
      <c r="H28" s="3">
        <f t="shared" si="2"/>
        <v>8.266666667</v>
      </c>
      <c r="I28" s="3">
        <f t="shared" si="3"/>
        <v>49.6</v>
      </c>
      <c r="J28" s="7">
        <f t="shared" si="4"/>
        <v>44867916.41</v>
      </c>
      <c r="K28" s="3" t="str">
        <f t="shared" si="12"/>
        <v>MIS</v>
      </c>
      <c r="L28" s="7">
        <f t="shared" si="6"/>
        <v>13555.11858</v>
      </c>
      <c r="M28" s="6">
        <f t="shared" si="7"/>
        <v>0.4156665966</v>
      </c>
      <c r="N28" s="14">
        <f t="shared" si="8"/>
        <v>25.77132899</v>
      </c>
      <c r="P28" s="3" t="s">
        <v>43</v>
      </c>
      <c r="Q28" s="3" t="str">
        <f t="shared" si="9"/>
        <v>completed</v>
      </c>
      <c r="R28" s="3" t="s">
        <v>107</v>
      </c>
      <c r="S28" s="8">
        <f t="shared" si="10"/>
        <v>14</v>
      </c>
      <c r="T28" s="8">
        <v>8.0</v>
      </c>
      <c r="U28" s="3">
        <v>62.93</v>
      </c>
      <c r="V28" s="3">
        <f t="shared" si="11"/>
        <v>0.93</v>
      </c>
      <c r="W28" s="3" t="s">
        <v>79</v>
      </c>
      <c r="X28" s="15" t="s">
        <v>108</v>
      </c>
    </row>
    <row r="29" ht="12.75" customHeight="1">
      <c r="A29" s="3" t="s">
        <v>81</v>
      </c>
      <c r="B29" s="3" t="s">
        <v>109</v>
      </c>
      <c r="C29" s="3">
        <v>150.0</v>
      </c>
      <c r="D29" s="3">
        <v>33.0</v>
      </c>
      <c r="E29" s="3" t="s">
        <v>110</v>
      </c>
      <c r="F29" s="3">
        <f>POWER(G29,0.2911873)*1.537648</f>
        <v>4.789657293</v>
      </c>
      <c r="G29" s="3">
        <f t="shared" si="1"/>
        <v>49.5</v>
      </c>
      <c r="H29" s="3">
        <f t="shared" si="2"/>
        <v>10.33476864</v>
      </c>
      <c r="I29" s="3">
        <f t="shared" si="3"/>
        <v>49.5</v>
      </c>
      <c r="J29" s="7">
        <f t="shared" si="4"/>
        <v>44777456.9</v>
      </c>
      <c r="K29" s="3" t="s">
        <v>84</v>
      </c>
      <c r="L29" s="7">
        <f t="shared" si="6"/>
        <v>13536.31775</v>
      </c>
      <c r="M29" s="6">
        <f t="shared" si="7"/>
        <v>0.4155606338</v>
      </c>
      <c r="N29" s="14">
        <f t="shared" si="8"/>
        <v>62.33409507</v>
      </c>
      <c r="P29" s="3" t="s">
        <v>43</v>
      </c>
      <c r="Q29" s="3" t="str">
        <f t="shared" si="9"/>
        <v>completed</v>
      </c>
      <c r="R29" s="3" t="s">
        <v>111</v>
      </c>
      <c r="S29" s="8">
        <f t="shared" si="10"/>
        <v>6.789657293</v>
      </c>
      <c r="T29" s="8">
        <v>2.0</v>
      </c>
      <c r="U29" s="3">
        <v>276.44</v>
      </c>
      <c r="V29" s="3">
        <f t="shared" si="11"/>
        <v>126.44</v>
      </c>
      <c r="W29" s="3" t="s">
        <v>79</v>
      </c>
      <c r="X29" s="15" t="s">
        <v>112</v>
      </c>
    </row>
    <row r="30" ht="12.75" customHeight="1">
      <c r="A30" s="3" t="s">
        <v>62</v>
      </c>
      <c r="B30" s="3" t="s">
        <v>113</v>
      </c>
      <c r="C30" s="3">
        <v>59.1</v>
      </c>
      <c r="D30" s="3">
        <v>80.0</v>
      </c>
      <c r="E30" s="3" t="s">
        <v>54</v>
      </c>
      <c r="F30" s="3">
        <v>3.0</v>
      </c>
      <c r="G30" s="3">
        <f t="shared" si="1"/>
        <v>47.28</v>
      </c>
      <c r="H30" s="3">
        <f t="shared" si="2"/>
        <v>15.76</v>
      </c>
      <c r="I30" s="3">
        <f t="shared" si="3"/>
        <v>47.28</v>
      </c>
      <c r="J30" s="7">
        <f t="shared" si="4"/>
        <v>42769255.8</v>
      </c>
      <c r="K30" s="3" t="str">
        <f t="shared" ref="K30:K37" si="13">IF(A30="DEF","Military","MIS")</f>
        <v>MIS</v>
      </c>
      <c r="L30" s="7">
        <f t="shared" si="6"/>
        <v>13115.82538</v>
      </c>
      <c r="M30" s="6">
        <f t="shared" si="7"/>
        <v>0.41312825</v>
      </c>
      <c r="N30" s="14">
        <f t="shared" si="8"/>
        <v>24.41587957</v>
      </c>
      <c r="P30" s="3" t="s">
        <v>71</v>
      </c>
      <c r="Q30" s="3" t="str">
        <f t="shared" si="9"/>
        <v>cancelled</v>
      </c>
      <c r="S30" s="8" t="str">
        <f t="shared" si="10"/>
        <v/>
      </c>
      <c r="V30" s="3" t="str">
        <f t="shared" si="11"/>
        <v/>
      </c>
      <c r="X30" s="3" t="s">
        <v>61</v>
      </c>
    </row>
    <row r="31" ht="12.75" customHeight="1">
      <c r="A31" s="3" t="s">
        <v>97</v>
      </c>
      <c r="B31" s="3" t="s">
        <v>114</v>
      </c>
      <c r="C31" s="3">
        <v>56.8</v>
      </c>
      <c r="D31" s="3">
        <v>80.0</v>
      </c>
      <c r="E31" s="3" t="s">
        <v>89</v>
      </c>
      <c r="F31" s="3">
        <v>4.0</v>
      </c>
      <c r="G31" s="3">
        <f t="shared" si="1"/>
        <v>45.44</v>
      </c>
      <c r="H31" s="3">
        <f t="shared" si="2"/>
        <v>11.36</v>
      </c>
      <c r="I31" s="3">
        <f t="shared" si="3"/>
        <v>45.44</v>
      </c>
      <c r="J31" s="7">
        <f t="shared" si="4"/>
        <v>41104800.84</v>
      </c>
      <c r="K31" s="3" t="str">
        <f t="shared" si="13"/>
        <v>MIS</v>
      </c>
      <c r="L31" s="7">
        <f t="shared" si="6"/>
        <v>12762.61695</v>
      </c>
      <c r="M31" s="6">
        <f t="shared" si="7"/>
        <v>0.4109886279</v>
      </c>
      <c r="N31" s="14">
        <f t="shared" si="8"/>
        <v>23.34415407</v>
      </c>
      <c r="P31" s="3" t="s">
        <v>90</v>
      </c>
      <c r="Q31" s="3" t="str">
        <f t="shared" si="9"/>
        <v>unknown</v>
      </c>
      <c r="S31" s="8" t="str">
        <f t="shared" si="10"/>
        <v/>
      </c>
      <c r="V31" s="3" t="str">
        <f t="shared" si="11"/>
        <v/>
      </c>
    </row>
    <row r="32" ht="12.75" customHeight="1">
      <c r="A32" s="3" t="s">
        <v>50</v>
      </c>
      <c r="B32" s="3" t="s">
        <v>115</v>
      </c>
      <c r="C32" s="3">
        <v>46.0</v>
      </c>
      <c r="D32" s="3">
        <v>93.0</v>
      </c>
      <c r="E32" s="3" t="s">
        <v>116</v>
      </c>
      <c r="F32" s="3">
        <v>3.0</v>
      </c>
      <c r="G32" s="3">
        <f t="shared" si="1"/>
        <v>42.78</v>
      </c>
      <c r="H32" s="3">
        <f t="shared" si="2"/>
        <v>14.26</v>
      </c>
      <c r="I32" s="3">
        <f t="shared" si="3"/>
        <v>42.78</v>
      </c>
      <c r="J32" s="7">
        <f t="shared" si="4"/>
        <v>38698577.9</v>
      </c>
      <c r="K32" s="3" t="str">
        <f t="shared" si="13"/>
        <v>MIS</v>
      </c>
      <c r="L32" s="7">
        <f t="shared" si="6"/>
        <v>12243.98751</v>
      </c>
      <c r="M32" s="6">
        <f t="shared" si="7"/>
        <v>0.4076756158</v>
      </c>
      <c r="N32" s="14">
        <f t="shared" si="8"/>
        <v>18.75307833</v>
      </c>
      <c r="P32" s="3" t="s">
        <v>43</v>
      </c>
      <c r="Q32" s="3" t="str">
        <f t="shared" si="9"/>
        <v>completed</v>
      </c>
      <c r="R32" s="3" t="s">
        <v>111</v>
      </c>
      <c r="S32" s="8">
        <f t="shared" si="10"/>
        <v>8</v>
      </c>
      <c r="T32" s="8">
        <v>5.0</v>
      </c>
      <c r="U32" s="3">
        <v>42.7</v>
      </c>
      <c r="V32" s="3">
        <f t="shared" si="11"/>
        <v>-3.3</v>
      </c>
      <c r="W32" s="3" t="s">
        <v>56</v>
      </c>
      <c r="X32" s="15" t="s">
        <v>117</v>
      </c>
    </row>
    <row r="33" ht="12.75" customHeight="1">
      <c r="A33" s="3" t="s">
        <v>118</v>
      </c>
      <c r="B33" s="3" t="s">
        <v>119</v>
      </c>
      <c r="C33" s="3">
        <v>50.0</v>
      </c>
      <c r="D33" s="3">
        <v>85.0</v>
      </c>
      <c r="E33" s="3" t="s">
        <v>120</v>
      </c>
      <c r="F33" s="3">
        <v>7.0</v>
      </c>
      <c r="G33" s="3">
        <f t="shared" si="1"/>
        <v>42.5</v>
      </c>
      <c r="H33" s="3">
        <f t="shared" si="2"/>
        <v>6.071428571</v>
      </c>
      <c r="I33" s="3">
        <f t="shared" si="3"/>
        <v>42.5</v>
      </c>
      <c r="J33" s="7">
        <f t="shared" si="4"/>
        <v>38445291.28</v>
      </c>
      <c r="K33" s="3" t="str">
        <f t="shared" si="13"/>
        <v>MIS</v>
      </c>
      <c r="L33" s="7">
        <f t="shared" si="6"/>
        <v>12188.81745</v>
      </c>
      <c r="M33" s="6">
        <f t="shared" si="7"/>
        <v>0.407310559</v>
      </c>
      <c r="N33" s="14">
        <f t="shared" si="8"/>
        <v>20.36552795</v>
      </c>
      <c r="P33" s="3" t="s">
        <v>71</v>
      </c>
      <c r="Q33" s="3" t="str">
        <f t="shared" si="9"/>
        <v>cancelled</v>
      </c>
      <c r="S33" s="8" t="str">
        <f t="shared" si="10"/>
        <v/>
      </c>
      <c r="U33" s="8">
        <v>10.0</v>
      </c>
      <c r="V33" s="3">
        <f t="shared" si="11"/>
        <v>-40</v>
      </c>
      <c r="X33" s="3" t="s">
        <v>61</v>
      </c>
    </row>
    <row r="34" ht="12.75" customHeight="1">
      <c r="A34" s="3" t="s">
        <v>74</v>
      </c>
      <c r="B34" s="18" t="s">
        <v>121</v>
      </c>
      <c r="C34" s="3">
        <v>80.0</v>
      </c>
      <c r="D34" s="3">
        <v>50.0</v>
      </c>
      <c r="E34" s="3" t="s">
        <v>122</v>
      </c>
      <c r="F34" s="3">
        <v>4.0</v>
      </c>
      <c r="G34" s="3">
        <f t="shared" si="1"/>
        <v>40</v>
      </c>
      <c r="H34" s="3">
        <f t="shared" si="2"/>
        <v>10</v>
      </c>
      <c r="I34" s="3">
        <f t="shared" si="3"/>
        <v>40</v>
      </c>
      <c r="J34" s="7">
        <f t="shared" si="4"/>
        <v>36183803.56</v>
      </c>
      <c r="K34" s="3" t="str">
        <f t="shared" si="13"/>
        <v>MIS</v>
      </c>
      <c r="L34" s="7">
        <f t="shared" si="6"/>
        <v>11691.07242</v>
      </c>
      <c r="M34" s="6">
        <f t="shared" si="7"/>
        <v>0.4039002916</v>
      </c>
      <c r="N34" s="14">
        <f t="shared" si="8"/>
        <v>32.31202333</v>
      </c>
      <c r="P34" s="3" t="s">
        <v>43</v>
      </c>
      <c r="Q34" s="3" t="str">
        <f t="shared" si="9"/>
        <v>completed</v>
      </c>
      <c r="R34" s="3" t="s">
        <v>103</v>
      </c>
      <c r="S34" s="8">
        <f t="shared" si="10"/>
        <v>7</v>
      </c>
      <c r="T34" s="8">
        <v>3.0</v>
      </c>
      <c r="U34" s="3">
        <v>98.0</v>
      </c>
      <c r="V34" s="3">
        <f t="shared" si="11"/>
        <v>18</v>
      </c>
      <c r="W34" s="3" t="s">
        <v>79</v>
      </c>
      <c r="X34" s="15" t="s">
        <v>123</v>
      </c>
    </row>
    <row r="35" ht="12.75" customHeight="1">
      <c r="A35" s="3" t="s">
        <v>124</v>
      </c>
      <c r="B35" s="3" t="s">
        <v>125</v>
      </c>
      <c r="C35" s="3">
        <v>54.2</v>
      </c>
      <c r="D35" s="3">
        <v>72.0</v>
      </c>
      <c r="E35" s="3" t="s">
        <v>70</v>
      </c>
      <c r="F35" s="3">
        <v>5.0</v>
      </c>
      <c r="G35" s="3">
        <f t="shared" si="1"/>
        <v>39.024</v>
      </c>
      <c r="H35" s="3">
        <f t="shared" si="2"/>
        <v>7.8048</v>
      </c>
      <c r="I35" s="3">
        <f t="shared" si="3"/>
        <v>39.024</v>
      </c>
      <c r="J35" s="7">
        <f t="shared" si="4"/>
        <v>35300918.75</v>
      </c>
      <c r="K35" s="3" t="str">
        <f t="shared" si="13"/>
        <v>MIS</v>
      </c>
      <c r="L35" s="7">
        <f t="shared" si="6"/>
        <v>11494.13335</v>
      </c>
      <c r="M35" s="6">
        <f t="shared" si="7"/>
        <v>0.4024903625</v>
      </c>
      <c r="N35" s="14">
        <f t="shared" si="8"/>
        <v>21.81497765</v>
      </c>
      <c r="P35" s="3" t="s">
        <v>71</v>
      </c>
      <c r="Q35" s="3" t="str">
        <f t="shared" si="9"/>
        <v>cancelled</v>
      </c>
      <c r="S35" s="8" t="str">
        <f t="shared" si="10"/>
        <v/>
      </c>
      <c r="V35" s="3" t="str">
        <f t="shared" si="11"/>
        <v/>
      </c>
      <c r="X35" s="3" t="s">
        <v>61</v>
      </c>
    </row>
    <row r="36" ht="12.75" customHeight="1">
      <c r="A36" s="3" t="s">
        <v>74</v>
      </c>
      <c r="B36" s="3" t="s">
        <v>126</v>
      </c>
      <c r="C36" s="3">
        <v>35.0</v>
      </c>
      <c r="D36" s="3">
        <v>95.0</v>
      </c>
      <c r="E36" s="3" t="s">
        <v>127</v>
      </c>
      <c r="F36" s="3">
        <v>5.0</v>
      </c>
      <c r="G36" s="3">
        <f t="shared" si="1"/>
        <v>33.25</v>
      </c>
      <c r="H36" s="3">
        <f t="shared" si="2"/>
        <v>6.65</v>
      </c>
      <c r="I36" s="3">
        <f t="shared" si="3"/>
        <v>33.25</v>
      </c>
      <c r="J36" s="7">
        <f t="shared" si="4"/>
        <v>30077786.71</v>
      </c>
      <c r="K36" s="3" t="str">
        <f t="shared" si="13"/>
        <v>MIS</v>
      </c>
      <c r="L36" s="7">
        <f t="shared" si="6"/>
        <v>10295.59238</v>
      </c>
      <c r="M36" s="6">
        <f t="shared" si="7"/>
        <v>0.3930785696</v>
      </c>
      <c r="N36" s="14">
        <f t="shared" si="8"/>
        <v>13.75774994</v>
      </c>
      <c r="P36" s="3" t="s">
        <v>43</v>
      </c>
      <c r="Q36" s="3" t="str">
        <f t="shared" si="9"/>
        <v>completed</v>
      </c>
      <c r="R36" s="3" t="s">
        <v>128</v>
      </c>
      <c r="S36" s="8">
        <f t="shared" si="10"/>
        <v>6</v>
      </c>
      <c r="T36" s="8">
        <v>1.0</v>
      </c>
      <c r="U36" s="3">
        <v>55.0</v>
      </c>
      <c r="V36" s="3">
        <f t="shared" si="11"/>
        <v>20</v>
      </c>
      <c r="W36" s="3" t="s">
        <v>79</v>
      </c>
      <c r="X36" s="15" t="s">
        <v>129</v>
      </c>
    </row>
    <row r="37" ht="12.75" customHeight="1">
      <c r="A37" s="3" t="s">
        <v>62</v>
      </c>
      <c r="B37" s="3" t="s">
        <v>130</v>
      </c>
      <c r="C37" s="3">
        <v>31.1</v>
      </c>
      <c r="D37" s="3">
        <v>100.0</v>
      </c>
      <c r="E37" s="3" t="s">
        <v>131</v>
      </c>
      <c r="F37" s="3">
        <v>5.0</v>
      </c>
      <c r="G37" s="3">
        <f t="shared" si="1"/>
        <v>31.1</v>
      </c>
      <c r="H37" s="3">
        <f t="shared" si="2"/>
        <v>6.22</v>
      </c>
      <c r="I37" s="3">
        <f t="shared" si="3"/>
        <v>31.1</v>
      </c>
      <c r="J37" s="7">
        <f t="shared" si="4"/>
        <v>28132907.27</v>
      </c>
      <c r="K37" s="3" t="str">
        <f t="shared" si="13"/>
        <v>MIS</v>
      </c>
      <c r="L37" s="7">
        <f t="shared" si="6"/>
        <v>9832.991139</v>
      </c>
      <c r="M37" s="6">
        <f t="shared" si="7"/>
        <v>0.3890168634</v>
      </c>
      <c r="N37" s="14">
        <f t="shared" si="8"/>
        <v>12.09842445</v>
      </c>
      <c r="P37" s="3" t="s">
        <v>71</v>
      </c>
      <c r="Q37" s="3" t="str">
        <f t="shared" si="9"/>
        <v>cancelled</v>
      </c>
      <c r="S37" s="8" t="str">
        <f t="shared" si="10"/>
        <v/>
      </c>
      <c r="V37" s="3" t="str">
        <f t="shared" si="11"/>
        <v/>
      </c>
      <c r="X37" s="3" t="s">
        <v>61</v>
      </c>
    </row>
    <row r="38" ht="12.75" customHeight="1">
      <c r="A38" s="3" t="s">
        <v>81</v>
      </c>
      <c r="B38" s="3" t="s">
        <v>132</v>
      </c>
      <c r="C38" s="3">
        <v>36.6</v>
      </c>
      <c r="D38" s="3">
        <v>82.0</v>
      </c>
      <c r="E38" s="3" t="s">
        <v>70</v>
      </c>
      <c r="F38" s="3">
        <v>5.0</v>
      </c>
      <c r="G38" s="3">
        <f t="shared" si="1"/>
        <v>30.012</v>
      </c>
      <c r="H38" s="3">
        <f t="shared" si="2"/>
        <v>6.0024</v>
      </c>
      <c r="I38" s="3">
        <f t="shared" si="3"/>
        <v>30.012</v>
      </c>
      <c r="J38" s="7">
        <f t="shared" si="4"/>
        <v>27148707.81</v>
      </c>
      <c r="K38" s="3" t="s">
        <v>84</v>
      </c>
      <c r="L38" s="7">
        <f t="shared" si="6"/>
        <v>9595.101665</v>
      </c>
      <c r="M38" s="6">
        <f t="shared" si="7"/>
        <v>0.3868231512</v>
      </c>
      <c r="N38" s="14">
        <f t="shared" si="8"/>
        <v>14.15772733</v>
      </c>
      <c r="P38" s="3" t="s">
        <v>43</v>
      </c>
      <c r="Q38" s="3" t="str">
        <f t="shared" si="9"/>
        <v>completed</v>
      </c>
      <c r="R38" s="3" t="s">
        <v>111</v>
      </c>
      <c r="S38" s="8">
        <f t="shared" si="10"/>
        <v>9</v>
      </c>
      <c r="T38" s="8">
        <v>4.0</v>
      </c>
      <c r="U38" s="3">
        <v>29.0</v>
      </c>
      <c r="V38" s="3">
        <f t="shared" si="11"/>
        <v>-7.6</v>
      </c>
      <c r="W38" s="3" t="s">
        <v>56</v>
      </c>
      <c r="X38" s="15" t="s">
        <v>133</v>
      </c>
    </row>
    <row r="39" ht="12.75" customHeight="1">
      <c r="A39" s="3" t="s">
        <v>124</v>
      </c>
      <c r="B39" s="3" t="s">
        <v>134</v>
      </c>
      <c r="C39" s="3">
        <v>60.0</v>
      </c>
      <c r="D39" s="3">
        <v>50.0</v>
      </c>
      <c r="E39" s="3" t="s">
        <v>89</v>
      </c>
      <c r="F39" s="3">
        <v>4.0</v>
      </c>
      <c r="G39" s="3">
        <f t="shared" si="1"/>
        <v>30</v>
      </c>
      <c r="H39" s="3">
        <f t="shared" si="2"/>
        <v>7.5</v>
      </c>
      <c r="I39" s="3">
        <f t="shared" si="3"/>
        <v>30</v>
      </c>
      <c r="J39" s="7">
        <f t="shared" si="4"/>
        <v>27137852.67</v>
      </c>
      <c r="K39" s="3" t="str">
        <f t="shared" ref="K39:K44" si="14">IF(A39="DEF","Military","MIS")</f>
        <v>MIS</v>
      </c>
      <c r="L39" s="7">
        <f t="shared" si="6"/>
        <v>9592.463017</v>
      </c>
      <c r="M39" s="6">
        <f t="shared" si="7"/>
        <v>0.3867983996</v>
      </c>
      <c r="N39" s="14">
        <f t="shared" si="8"/>
        <v>23.20790398</v>
      </c>
      <c r="P39" s="3" t="s">
        <v>90</v>
      </c>
      <c r="Q39" s="3" t="str">
        <f t="shared" si="9"/>
        <v>unknown</v>
      </c>
      <c r="S39" s="8" t="str">
        <f t="shared" si="10"/>
        <v/>
      </c>
      <c r="V39" s="3" t="str">
        <f t="shared" si="11"/>
        <v/>
      </c>
    </row>
    <row r="40" ht="12.75" customHeight="1">
      <c r="A40" s="3" t="s">
        <v>50</v>
      </c>
      <c r="B40" s="3" t="s">
        <v>135</v>
      </c>
      <c r="C40" s="3">
        <v>33.5</v>
      </c>
      <c r="D40" s="3">
        <v>87.0</v>
      </c>
      <c r="E40" s="3" t="s">
        <v>136</v>
      </c>
      <c r="F40" s="3">
        <v>1.0</v>
      </c>
      <c r="G40" s="3">
        <f t="shared" si="1"/>
        <v>29.145</v>
      </c>
      <c r="H40" s="3">
        <f t="shared" si="2"/>
        <v>29.145</v>
      </c>
      <c r="I40" s="3">
        <f t="shared" si="3"/>
        <v>29.145</v>
      </c>
      <c r="J40" s="7">
        <f t="shared" si="4"/>
        <v>26364423.87</v>
      </c>
      <c r="K40" s="3" t="str">
        <f t="shared" si="14"/>
        <v>MIS</v>
      </c>
      <c r="L40" s="7">
        <f t="shared" si="6"/>
        <v>9403.600354</v>
      </c>
      <c r="M40" s="6">
        <f t="shared" si="7"/>
        <v>0.3850022072</v>
      </c>
      <c r="N40" s="14">
        <f t="shared" si="8"/>
        <v>12.89757394</v>
      </c>
      <c r="P40" s="3" t="s">
        <v>90</v>
      </c>
      <c r="Q40" s="3" t="str">
        <f t="shared" si="9"/>
        <v>unknown</v>
      </c>
      <c r="S40" s="8" t="str">
        <f t="shared" si="10"/>
        <v/>
      </c>
      <c r="V40" s="3" t="str">
        <f t="shared" si="11"/>
        <v/>
      </c>
    </row>
    <row r="41" ht="12.75" customHeight="1">
      <c r="A41" s="3" t="s">
        <v>46</v>
      </c>
      <c r="B41" s="3" t="s">
        <v>137</v>
      </c>
      <c r="C41" s="3">
        <v>30.5</v>
      </c>
      <c r="D41" s="3">
        <v>95.0</v>
      </c>
      <c r="E41" s="3" t="s">
        <v>138</v>
      </c>
      <c r="F41" s="3">
        <v>2.5</v>
      </c>
      <c r="G41" s="3">
        <f t="shared" si="1"/>
        <v>28.975</v>
      </c>
      <c r="H41" s="3">
        <f t="shared" si="2"/>
        <v>11.59</v>
      </c>
      <c r="I41" s="3">
        <f t="shared" si="3"/>
        <v>28.975</v>
      </c>
      <c r="J41" s="7">
        <f t="shared" si="4"/>
        <v>26210642.7</v>
      </c>
      <c r="K41" s="3" t="str">
        <f t="shared" si="14"/>
        <v>MIS</v>
      </c>
      <c r="L41" s="7">
        <f t="shared" si="6"/>
        <v>9365.84367</v>
      </c>
      <c r="M41" s="6">
        <f t="shared" si="7"/>
        <v>0.3846372097</v>
      </c>
      <c r="N41" s="14">
        <f t="shared" si="8"/>
        <v>11.7314349</v>
      </c>
      <c r="P41" s="3" t="s">
        <v>71</v>
      </c>
      <c r="Q41" s="3" t="str">
        <f t="shared" si="9"/>
        <v>cancelled</v>
      </c>
      <c r="S41" s="8" t="str">
        <f t="shared" si="10"/>
        <v/>
      </c>
      <c r="V41" s="3" t="str">
        <f t="shared" si="11"/>
        <v/>
      </c>
      <c r="X41" s="3" t="s">
        <v>61</v>
      </c>
    </row>
    <row r="42" ht="12.75" customHeight="1">
      <c r="A42" s="3" t="s">
        <v>62</v>
      </c>
      <c r="B42" s="3" t="s">
        <v>139</v>
      </c>
      <c r="C42" s="3">
        <v>92.0</v>
      </c>
      <c r="D42" s="3">
        <v>30.0</v>
      </c>
      <c r="E42" s="3" t="s">
        <v>122</v>
      </c>
      <c r="F42" s="3">
        <v>4.0</v>
      </c>
      <c r="G42" s="3">
        <f t="shared" si="1"/>
        <v>27.6</v>
      </c>
      <c r="H42" s="3">
        <f t="shared" si="2"/>
        <v>6.9</v>
      </c>
      <c r="I42" s="3">
        <f t="shared" si="3"/>
        <v>27.6</v>
      </c>
      <c r="J42" s="7">
        <f t="shared" si="4"/>
        <v>24966824.45</v>
      </c>
      <c r="K42" s="3" t="str">
        <f t="shared" si="14"/>
        <v>MIS</v>
      </c>
      <c r="L42" s="7">
        <f t="shared" si="6"/>
        <v>9057.866322</v>
      </c>
      <c r="M42" s="6">
        <f t="shared" si="7"/>
        <v>0.3815836335</v>
      </c>
      <c r="N42" s="14">
        <f t="shared" si="8"/>
        <v>35.10569428</v>
      </c>
      <c r="P42" s="3" t="s">
        <v>71</v>
      </c>
      <c r="Q42" s="3" t="str">
        <f t="shared" si="9"/>
        <v>cancelled</v>
      </c>
      <c r="R42" s="19">
        <v>41679.0</v>
      </c>
      <c r="S42" s="8">
        <f t="shared" si="10"/>
        <v>8</v>
      </c>
      <c r="T42" s="20">
        <v>4.0</v>
      </c>
      <c r="U42" s="3">
        <v>121.8</v>
      </c>
      <c r="V42" s="3">
        <f t="shared" si="11"/>
        <v>29.8</v>
      </c>
      <c r="W42" s="3" t="s">
        <v>79</v>
      </c>
      <c r="X42" s="15" t="s">
        <v>140</v>
      </c>
    </row>
    <row r="43" ht="12.75" customHeight="1">
      <c r="A43" s="3" t="s">
        <v>74</v>
      </c>
      <c r="B43" s="3" t="s">
        <v>141</v>
      </c>
      <c r="C43" s="3">
        <v>45.0</v>
      </c>
      <c r="D43" s="3">
        <v>60.0</v>
      </c>
      <c r="E43" s="3" t="s">
        <v>142</v>
      </c>
      <c r="F43" s="3">
        <v>7.0</v>
      </c>
      <c r="G43" s="3">
        <f t="shared" si="1"/>
        <v>27</v>
      </c>
      <c r="H43" s="3">
        <f t="shared" si="2"/>
        <v>3.857142857</v>
      </c>
      <c r="I43" s="3">
        <f t="shared" si="3"/>
        <v>27</v>
      </c>
      <c r="J43" s="7">
        <f t="shared" si="4"/>
        <v>24424067.4</v>
      </c>
      <c r="K43" s="3" t="str">
        <f t="shared" si="14"/>
        <v>MIS</v>
      </c>
      <c r="L43" s="7">
        <f t="shared" si="6"/>
        <v>8921.981079</v>
      </c>
      <c r="M43" s="6">
        <f t="shared" si="7"/>
        <v>0.3801916083</v>
      </c>
      <c r="N43" s="14">
        <f t="shared" si="8"/>
        <v>17.10862237</v>
      </c>
      <c r="P43" s="3" t="s">
        <v>143</v>
      </c>
      <c r="Q43" s="3" t="str">
        <f t="shared" si="9"/>
        <v>completed</v>
      </c>
      <c r="S43" s="8" t="str">
        <f t="shared" si="10"/>
        <v/>
      </c>
      <c r="V43" s="3" t="str">
        <f t="shared" si="11"/>
        <v/>
      </c>
      <c r="X43" s="3" t="s">
        <v>61</v>
      </c>
    </row>
    <row r="44" ht="12.75" customHeight="1">
      <c r="A44" s="3" t="s">
        <v>50</v>
      </c>
      <c r="B44" s="3" t="s">
        <v>144</v>
      </c>
      <c r="C44" s="3">
        <v>47.6</v>
      </c>
      <c r="D44" s="3">
        <v>55.0</v>
      </c>
      <c r="E44" s="3" t="s">
        <v>145</v>
      </c>
      <c r="F44" s="3">
        <v>7.0</v>
      </c>
      <c r="G44" s="3">
        <f t="shared" si="1"/>
        <v>26.18</v>
      </c>
      <c r="H44" s="3">
        <f t="shared" si="2"/>
        <v>3.74</v>
      </c>
      <c r="I44" s="3">
        <f t="shared" si="3"/>
        <v>26.18</v>
      </c>
      <c r="J44" s="7">
        <f t="shared" si="4"/>
        <v>23682299.43</v>
      </c>
      <c r="K44" s="3" t="str">
        <f t="shared" si="14"/>
        <v>MIS</v>
      </c>
      <c r="L44" s="7">
        <f t="shared" si="6"/>
        <v>8734.735283</v>
      </c>
      <c r="M44" s="6">
        <f t="shared" si="7"/>
        <v>0.3782265023</v>
      </c>
      <c r="N44" s="14">
        <f t="shared" si="8"/>
        <v>18.00358151</v>
      </c>
      <c r="P44" s="3" t="s">
        <v>43</v>
      </c>
      <c r="Q44" s="3" t="str">
        <f t="shared" si="9"/>
        <v>completed</v>
      </c>
      <c r="R44" s="3" t="s">
        <v>44</v>
      </c>
      <c r="S44" s="8">
        <f t="shared" si="10"/>
        <v>5</v>
      </c>
      <c r="T44" s="8">
        <v>-2.0</v>
      </c>
      <c r="U44" s="3">
        <v>65.28</v>
      </c>
      <c r="V44" s="3">
        <f t="shared" si="11"/>
        <v>17.68</v>
      </c>
      <c r="W44" s="3" t="s">
        <v>146</v>
      </c>
      <c r="X44" s="15" t="s">
        <v>147</v>
      </c>
    </row>
    <row r="45" ht="12.75" customHeight="1">
      <c r="A45" s="3" t="s">
        <v>81</v>
      </c>
      <c r="B45" s="3" t="s">
        <v>148</v>
      </c>
      <c r="C45" s="3">
        <v>57.7</v>
      </c>
      <c r="D45" s="3">
        <v>45.0</v>
      </c>
      <c r="E45" s="3" t="s">
        <v>145</v>
      </c>
      <c r="F45" s="3">
        <v>7.0</v>
      </c>
      <c r="G45" s="3">
        <f t="shared" si="1"/>
        <v>25.965</v>
      </c>
      <c r="H45" s="3">
        <f t="shared" si="2"/>
        <v>3.709285714</v>
      </c>
      <c r="I45" s="3">
        <f t="shared" si="3"/>
        <v>25.965</v>
      </c>
      <c r="J45" s="7">
        <f t="shared" si="4"/>
        <v>23487811.48</v>
      </c>
      <c r="K45" s="3" t="s">
        <v>84</v>
      </c>
      <c r="L45" s="7">
        <f t="shared" si="6"/>
        <v>8685.338853</v>
      </c>
      <c r="M45" s="6">
        <f t="shared" si="7"/>
        <v>0.3776987812</v>
      </c>
      <c r="N45" s="14">
        <f t="shared" si="8"/>
        <v>21.79321968</v>
      </c>
      <c r="P45" s="3" t="s">
        <v>90</v>
      </c>
      <c r="Q45" s="3" t="str">
        <f t="shared" si="9"/>
        <v>unknown</v>
      </c>
      <c r="S45" s="8" t="str">
        <f t="shared" si="10"/>
        <v/>
      </c>
      <c r="V45" s="3" t="str">
        <f t="shared" si="11"/>
        <v/>
      </c>
    </row>
    <row r="46" ht="12.75" customHeight="1">
      <c r="A46" s="3" t="s">
        <v>46</v>
      </c>
      <c r="B46" s="3" t="s">
        <v>149</v>
      </c>
      <c r="C46" s="3">
        <v>25.0</v>
      </c>
      <c r="D46" s="3">
        <v>100.0</v>
      </c>
      <c r="E46" s="3" t="s">
        <v>150</v>
      </c>
      <c r="F46" s="3">
        <v>2.5</v>
      </c>
      <c r="G46" s="3">
        <f t="shared" si="1"/>
        <v>25</v>
      </c>
      <c r="H46" s="3">
        <f t="shared" si="2"/>
        <v>10</v>
      </c>
      <c r="I46" s="3">
        <f t="shared" si="3"/>
        <v>25</v>
      </c>
      <c r="J46" s="7">
        <f t="shared" si="4"/>
        <v>22614877.22</v>
      </c>
      <c r="K46" s="3" t="str">
        <f t="shared" ref="K46:K74" si="15">IF(A46="DEF","Military","MIS")</f>
        <v>MIS</v>
      </c>
      <c r="L46" s="7">
        <f t="shared" si="6"/>
        <v>8462.033723</v>
      </c>
      <c r="M46" s="6">
        <f t="shared" si="7"/>
        <v>0.3752629291</v>
      </c>
      <c r="N46" s="14">
        <f t="shared" si="8"/>
        <v>9.381573228</v>
      </c>
      <c r="P46" s="8" t="s">
        <v>71</v>
      </c>
      <c r="Q46" s="3" t="str">
        <f t="shared" si="9"/>
        <v>cancelled</v>
      </c>
      <c r="S46" s="8" t="str">
        <f t="shared" si="10"/>
        <v/>
      </c>
      <c r="V46" s="3" t="str">
        <f t="shared" si="11"/>
        <v/>
      </c>
      <c r="X46" s="3" t="s">
        <v>61</v>
      </c>
    </row>
    <row r="47" ht="12.75" customHeight="1">
      <c r="A47" s="3" t="s">
        <v>50</v>
      </c>
      <c r="B47" s="3" t="s">
        <v>151</v>
      </c>
      <c r="C47" s="3">
        <v>45.0</v>
      </c>
      <c r="D47" s="3">
        <v>55.0</v>
      </c>
      <c r="E47" s="3" t="s">
        <v>152</v>
      </c>
      <c r="F47" s="3">
        <v>2.0</v>
      </c>
      <c r="G47" s="3">
        <f t="shared" si="1"/>
        <v>24.75</v>
      </c>
      <c r="H47" s="3">
        <f t="shared" si="2"/>
        <v>12.375</v>
      </c>
      <c r="I47" s="3">
        <f t="shared" si="3"/>
        <v>24.75</v>
      </c>
      <c r="J47" s="7">
        <f t="shared" si="4"/>
        <v>22388728.45</v>
      </c>
      <c r="K47" s="3" t="str">
        <f t="shared" si="15"/>
        <v>MIS</v>
      </c>
      <c r="L47" s="7">
        <f t="shared" si="6"/>
        <v>8403.746447</v>
      </c>
      <c r="M47" s="6">
        <f t="shared" si="7"/>
        <v>0.3746132547</v>
      </c>
      <c r="N47" s="14">
        <f t="shared" si="8"/>
        <v>16.85759646</v>
      </c>
      <c r="P47" s="3" t="s">
        <v>43</v>
      </c>
      <c r="Q47" s="3" t="str">
        <f t="shared" si="9"/>
        <v>completed</v>
      </c>
      <c r="R47" s="19">
        <v>41030.0</v>
      </c>
      <c r="S47" s="8">
        <f t="shared" si="10"/>
        <v>6</v>
      </c>
      <c r="T47" s="20">
        <v>4.0</v>
      </c>
      <c r="U47" s="3">
        <v>53.26</v>
      </c>
      <c r="V47" s="3">
        <f t="shared" si="11"/>
        <v>8.26</v>
      </c>
      <c r="W47" s="3" t="s">
        <v>79</v>
      </c>
      <c r="X47" s="15" t="s">
        <v>153</v>
      </c>
    </row>
    <row r="48" ht="12.75" customHeight="1">
      <c r="A48" s="3" t="s">
        <v>40</v>
      </c>
      <c r="B48" s="3" t="s">
        <v>154</v>
      </c>
      <c r="C48" s="3">
        <v>35.3</v>
      </c>
      <c r="D48" s="3">
        <v>70.0</v>
      </c>
      <c r="E48" s="3" t="s">
        <v>92</v>
      </c>
      <c r="F48" s="3">
        <v>3.0</v>
      </c>
      <c r="G48" s="3">
        <f t="shared" si="1"/>
        <v>24.71</v>
      </c>
      <c r="H48" s="3">
        <f t="shared" si="2"/>
        <v>8.236666667</v>
      </c>
      <c r="I48" s="3">
        <f t="shared" si="3"/>
        <v>24.71</v>
      </c>
      <c r="J48" s="7">
        <f t="shared" si="4"/>
        <v>22352544.65</v>
      </c>
      <c r="K48" s="3" t="str">
        <f t="shared" si="15"/>
        <v>MIS</v>
      </c>
      <c r="L48" s="7">
        <f t="shared" si="6"/>
        <v>8394.403458</v>
      </c>
      <c r="M48" s="6">
        <f t="shared" si="7"/>
        <v>0.3745085716</v>
      </c>
      <c r="N48" s="14">
        <f t="shared" si="8"/>
        <v>13.22015258</v>
      </c>
      <c r="P48" s="3" t="s">
        <v>43</v>
      </c>
      <c r="Q48" s="3" t="str">
        <f t="shared" si="9"/>
        <v>completed</v>
      </c>
      <c r="S48" s="8" t="str">
        <f t="shared" si="10"/>
        <v/>
      </c>
      <c r="V48" s="3" t="str">
        <f t="shared" si="11"/>
        <v/>
      </c>
      <c r="X48" s="16" t="s">
        <v>155</v>
      </c>
    </row>
    <row r="49" ht="12.75" customHeight="1">
      <c r="A49" s="3" t="s">
        <v>40</v>
      </c>
      <c r="B49" s="3" t="s">
        <v>156</v>
      </c>
      <c r="C49" s="3">
        <v>23.0</v>
      </c>
      <c r="D49" s="3">
        <v>100.0</v>
      </c>
      <c r="E49" s="3" t="s">
        <v>157</v>
      </c>
      <c r="F49" s="3">
        <v>2.0</v>
      </c>
      <c r="G49" s="3">
        <f t="shared" si="1"/>
        <v>23</v>
      </c>
      <c r="H49" s="3">
        <f t="shared" si="2"/>
        <v>11.5</v>
      </c>
      <c r="I49" s="3">
        <f t="shared" si="3"/>
        <v>23</v>
      </c>
      <c r="J49" s="7">
        <f t="shared" si="4"/>
        <v>20805687.05</v>
      </c>
      <c r="K49" s="3" t="str">
        <f t="shared" si="15"/>
        <v>MIS</v>
      </c>
      <c r="L49" s="7">
        <f t="shared" si="6"/>
        <v>7990.436883</v>
      </c>
      <c r="M49" s="6">
        <f t="shared" si="7"/>
        <v>0.3698329017</v>
      </c>
      <c r="N49" s="14">
        <f t="shared" si="8"/>
        <v>8.506156739</v>
      </c>
      <c r="P49" s="3" t="s">
        <v>90</v>
      </c>
      <c r="Q49" s="3" t="str">
        <f t="shared" si="9"/>
        <v>unknown</v>
      </c>
      <c r="S49" s="8" t="str">
        <f t="shared" si="10"/>
        <v/>
      </c>
      <c r="V49" s="3" t="str">
        <f t="shared" si="11"/>
        <v/>
      </c>
    </row>
    <row r="50" ht="12.75" customHeight="1">
      <c r="A50" s="3" t="s">
        <v>74</v>
      </c>
      <c r="B50" s="3" t="s">
        <v>158</v>
      </c>
      <c r="C50" s="3">
        <v>90.0</v>
      </c>
      <c r="D50" s="3">
        <v>25.0</v>
      </c>
      <c r="E50" s="3" t="s">
        <v>159</v>
      </c>
      <c r="F50" s="3">
        <v>10.0</v>
      </c>
      <c r="G50" s="3">
        <f t="shared" si="1"/>
        <v>22.5</v>
      </c>
      <c r="H50" s="3">
        <f t="shared" si="2"/>
        <v>2.25</v>
      </c>
      <c r="I50" s="3">
        <f t="shared" si="3"/>
        <v>22.5</v>
      </c>
      <c r="J50" s="7">
        <f t="shared" si="4"/>
        <v>20353389.5</v>
      </c>
      <c r="K50" s="3" t="str">
        <f t="shared" si="15"/>
        <v>MIS</v>
      </c>
      <c r="L50" s="7">
        <f t="shared" si="6"/>
        <v>7870.565113</v>
      </c>
      <c r="M50" s="6">
        <f t="shared" si="7"/>
        <v>0.3683868923</v>
      </c>
      <c r="N50" s="14">
        <f t="shared" si="8"/>
        <v>33.15482031</v>
      </c>
      <c r="P50" s="3" t="s">
        <v>43</v>
      </c>
      <c r="Q50" s="3" t="str">
        <f t="shared" si="9"/>
        <v>completed</v>
      </c>
      <c r="R50" s="3" t="s">
        <v>160</v>
      </c>
      <c r="S50" s="8">
        <f t="shared" si="10"/>
        <v>11</v>
      </c>
      <c r="T50" s="8">
        <v>1.0</v>
      </c>
      <c r="U50" s="3">
        <v>99.4</v>
      </c>
      <c r="V50" s="3">
        <f t="shared" si="11"/>
        <v>9.4</v>
      </c>
      <c r="W50" s="3" t="s">
        <v>79</v>
      </c>
      <c r="X50" s="15" t="s">
        <v>161</v>
      </c>
    </row>
    <row r="51" ht="12.75" customHeight="1">
      <c r="A51" s="3" t="s">
        <v>124</v>
      </c>
      <c r="B51" s="3" t="s">
        <v>162</v>
      </c>
      <c r="C51" s="3">
        <v>28.9</v>
      </c>
      <c r="D51" s="3">
        <v>75.0</v>
      </c>
      <c r="E51" s="3" t="s">
        <v>163</v>
      </c>
      <c r="F51" s="3">
        <v>3.2</v>
      </c>
      <c r="G51" s="3">
        <f t="shared" si="1"/>
        <v>21.675</v>
      </c>
      <c r="H51" s="3">
        <f t="shared" si="2"/>
        <v>6.7734375</v>
      </c>
      <c r="I51" s="3">
        <f t="shared" si="3"/>
        <v>21.675</v>
      </c>
      <c r="J51" s="7">
        <f t="shared" si="4"/>
        <v>19607098.55</v>
      </c>
      <c r="K51" s="3" t="str">
        <f t="shared" si="15"/>
        <v>MIS</v>
      </c>
      <c r="L51" s="7">
        <f t="shared" si="6"/>
        <v>7670.939828</v>
      </c>
      <c r="M51" s="6">
        <f t="shared" si="7"/>
        <v>0.3659158748</v>
      </c>
      <c r="N51" s="14">
        <f t="shared" si="8"/>
        <v>10.57496878</v>
      </c>
      <c r="P51" s="3" t="s">
        <v>143</v>
      </c>
      <c r="Q51" s="3" t="str">
        <f t="shared" si="9"/>
        <v>completed</v>
      </c>
      <c r="S51" s="8" t="str">
        <f t="shared" si="10"/>
        <v/>
      </c>
      <c r="V51" s="3" t="str">
        <f t="shared" si="11"/>
        <v/>
      </c>
      <c r="X51" s="3" t="s">
        <v>61</v>
      </c>
    </row>
    <row r="52" ht="12.75" customHeight="1">
      <c r="A52" s="3" t="s">
        <v>46</v>
      </c>
      <c r="B52" s="3" t="s">
        <v>164</v>
      </c>
      <c r="C52" s="3">
        <v>21.4</v>
      </c>
      <c r="D52" s="3">
        <v>100.0</v>
      </c>
      <c r="E52" s="3" t="s">
        <v>54</v>
      </c>
      <c r="F52" s="3">
        <v>3.0</v>
      </c>
      <c r="G52" s="3">
        <f t="shared" si="1"/>
        <v>21.4</v>
      </c>
      <c r="H52" s="3">
        <f t="shared" si="2"/>
        <v>7.133333333</v>
      </c>
      <c r="I52" s="3">
        <f t="shared" si="3"/>
        <v>21.4</v>
      </c>
      <c r="J52" s="7">
        <f t="shared" si="4"/>
        <v>19358334.9</v>
      </c>
      <c r="K52" s="3" t="str">
        <f t="shared" si="15"/>
        <v>MIS</v>
      </c>
      <c r="L52" s="7">
        <f t="shared" si="6"/>
        <v>7603.873443</v>
      </c>
      <c r="M52" s="6">
        <f t="shared" si="7"/>
        <v>0.3650675033</v>
      </c>
      <c r="N52" s="14">
        <f t="shared" si="8"/>
        <v>7.812444571</v>
      </c>
      <c r="P52" s="3" t="s">
        <v>71</v>
      </c>
      <c r="Q52" s="3" t="str">
        <f t="shared" si="9"/>
        <v>cancelled</v>
      </c>
      <c r="S52" s="8" t="str">
        <f t="shared" si="10"/>
        <v/>
      </c>
      <c r="V52" s="3" t="str">
        <f t="shared" si="11"/>
        <v/>
      </c>
      <c r="X52" s="3" t="s">
        <v>61</v>
      </c>
    </row>
    <row r="53" ht="12.75" customHeight="1">
      <c r="A53" s="3" t="s">
        <v>46</v>
      </c>
      <c r="B53" s="3" t="s">
        <v>165</v>
      </c>
      <c r="C53" s="3">
        <v>26.2</v>
      </c>
      <c r="D53" s="3">
        <v>80.0</v>
      </c>
      <c r="E53" s="3" t="s">
        <v>89</v>
      </c>
      <c r="F53" s="3">
        <v>4.0</v>
      </c>
      <c r="G53" s="3">
        <f t="shared" si="1"/>
        <v>20.96</v>
      </c>
      <c r="H53" s="3">
        <f t="shared" si="2"/>
        <v>5.24</v>
      </c>
      <c r="I53" s="3">
        <f t="shared" si="3"/>
        <v>20.96</v>
      </c>
      <c r="J53" s="7">
        <f t="shared" si="4"/>
        <v>18960313.06</v>
      </c>
      <c r="K53" s="3" t="str">
        <f t="shared" si="15"/>
        <v>MIS</v>
      </c>
      <c r="L53" s="7">
        <f t="shared" si="6"/>
        <v>7496.00439</v>
      </c>
      <c r="M53" s="6">
        <f t="shared" si="7"/>
        <v>0.3636831925</v>
      </c>
      <c r="N53" s="14">
        <f t="shared" si="8"/>
        <v>9.528499644</v>
      </c>
      <c r="P53" s="3" t="s">
        <v>71</v>
      </c>
      <c r="Q53" s="3" t="str">
        <f t="shared" si="9"/>
        <v>cancelled</v>
      </c>
      <c r="S53" s="8" t="str">
        <f t="shared" si="10"/>
        <v/>
      </c>
      <c r="V53" s="3" t="str">
        <f t="shared" si="11"/>
        <v/>
      </c>
      <c r="X53" s="3" t="s">
        <v>61</v>
      </c>
    </row>
    <row r="54" ht="12.75" customHeight="1">
      <c r="A54" s="3" t="s">
        <v>118</v>
      </c>
      <c r="B54" s="3" t="s">
        <v>166</v>
      </c>
      <c r="C54" s="3">
        <v>24.3</v>
      </c>
      <c r="D54" s="3">
        <v>85.0</v>
      </c>
      <c r="E54" s="3" t="s">
        <v>54</v>
      </c>
      <c r="F54" s="3">
        <v>3.0</v>
      </c>
      <c r="G54" s="3">
        <f t="shared" si="1"/>
        <v>20.655</v>
      </c>
      <c r="H54" s="3">
        <f t="shared" si="2"/>
        <v>6.885</v>
      </c>
      <c r="I54" s="3">
        <f t="shared" si="3"/>
        <v>20.655</v>
      </c>
      <c r="J54" s="7">
        <f t="shared" si="4"/>
        <v>18684411.56</v>
      </c>
      <c r="K54" s="3" t="str">
        <f t="shared" si="15"/>
        <v>MIS</v>
      </c>
      <c r="L54" s="7">
        <f t="shared" si="6"/>
        <v>7420.816346</v>
      </c>
      <c r="M54" s="6">
        <f t="shared" si="7"/>
        <v>0.3627035471</v>
      </c>
      <c r="N54" s="14">
        <f t="shared" si="8"/>
        <v>8.813696194</v>
      </c>
      <c r="P54" s="3" t="s">
        <v>143</v>
      </c>
      <c r="Q54" s="3" t="str">
        <f t="shared" si="9"/>
        <v>completed</v>
      </c>
      <c r="S54" s="8" t="str">
        <f t="shared" si="10"/>
        <v/>
      </c>
      <c r="V54" s="3" t="str">
        <f t="shared" si="11"/>
        <v/>
      </c>
      <c r="X54" s="3" t="s">
        <v>61</v>
      </c>
    </row>
    <row r="55" ht="12.75" customHeight="1">
      <c r="A55" s="3" t="s">
        <v>74</v>
      </c>
      <c r="B55" s="3" t="s">
        <v>167</v>
      </c>
      <c r="C55" s="3">
        <v>20.0</v>
      </c>
      <c r="D55" s="3">
        <v>100.0</v>
      </c>
      <c r="E55" s="3" t="s">
        <v>89</v>
      </c>
      <c r="F55" s="3">
        <v>4.0</v>
      </c>
      <c r="G55" s="3">
        <f t="shared" si="1"/>
        <v>20</v>
      </c>
      <c r="H55" s="3">
        <f t="shared" si="2"/>
        <v>5</v>
      </c>
      <c r="I55" s="3">
        <f t="shared" si="3"/>
        <v>20</v>
      </c>
      <c r="J55" s="7">
        <f t="shared" si="4"/>
        <v>18091901.78</v>
      </c>
      <c r="K55" s="3" t="str">
        <f t="shared" si="15"/>
        <v>MIS</v>
      </c>
      <c r="L55" s="7">
        <f t="shared" si="6"/>
        <v>7258.163566</v>
      </c>
      <c r="M55" s="6">
        <f t="shared" si="7"/>
        <v>0.3605416716</v>
      </c>
      <c r="N55" s="14">
        <f t="shared" si="8"/>
        <v>7.210833431</v>
      </c>
      <c r="P55" s="3" t="s">
        <v>143</v>
      </c>
      <c r="Q55" s="3" t="str">
        <f t="shared" si="9"/>
        <v>completed</v>
      </c>
      <c r="S55" s="8" t="str">
        <f t="shared" si="10"/>
        <v/>
      </c>
      <c r="V55" s="3" t="str">
        <f t="shared" si="11"/>
        <v/>
      </c>
      <c r="X55" s="3" t="s">
        <v>61</v>
      </c>
    </row>
    <row r="56" ht="15.75" customHeight="1">
      <c r="A56" s="3" t="s">
        <v>97</v>
      </c>
      <c r="B56" s="18" t="s">
        <v>168</v>
      </c>
      <c r="C56" s="3">
        <v>25.0</v>
      </c>
      <c r="D56" s="3">
        <v>80.0</v>
      </c>
      <c r="E56" s="3" t="s">
        <v>70</v>
      </c>
      <c r="F56" s="3">
        <v>5.0</v>
      </c>
      <c r="G56" s="3">
        <f t="shared" si="1"/>
        <v>20</v>
      </c>
      <c r="H56" s="3">
        <f t="shared" si="2"/>
        <v>4</v>
      </c>
      <c r="I56" s="3">
        <f t="shared" si="3"/>
        <v>20</v>
      </c>
      <c r="J56" s="7">
        <f t="shared" si="4"/>
        <v>18091901.78</v>
      </c>
      <c r="K56" s="3" t="str">
        <f t="shared" si="15"/>
        <v>MIS</v>
      </c>
      <c r="L56" s="7">
        <f t="shared" si="6"/>
        <v>7258.163566</v>
      </c>
      <c r="M56" s="6">
        <f t="shared" si="7"/>
        <v>0.3605416716</v>
      </c>
      <c r="N56" s="14">
        <f t="shared" si="8"/>
        <v>9.013541789</v>
      </c>
      <c r="P56" s="3" t="s">
        <v>143</v>
      </c>
      <c r="Q56" s="3" t="str">
        <f t="shared" si="9"/>
        <v>completed</v>
      </c>
      <c r="R56" s="19">
        <v>39822.0</v>
      </c>
      <c r="S56" s="8">
        <f t="shared" si="10"/>
        <v>3</v>
      </c>
      <c r="T56" s="20">
        <v>-2.0</v>
      </c>
      <c r="U56" s="3">
        <v>4.72</v>
      </c>
      <c r="V56" s="3">
        <f t="shared" si="11"/>
        <v>-20.28</v>
      </c>
      <c r="X56" s="15" t="s">
        <v>169</v>
      </c>
    </row>
    <row r="57" ht="12.75" customHeight="1">
      <c r="A57" s="3" t="s">
        <v>170</v>
      </c>
      <c r="B57" s="3" t="s">
        <v>171</v>
      </c>
      <c r="C57" s="3">
        <v>20.9</v>
      </c>
      <c r="D57" s="3">
        <v>90.0</v>
      </c>
      <c r="E57" s="3" t="s">
        <v>127</v>
      </c>
      <c r="F57" s="3">
        <v>5.0</v>
      </c>
      <c r="G57" s="3">
        <f t="shared" si="1"/>
        <v>18.81</v>
      </c>
      <c r="H57" s="3">
        <f t="shared" si="2"/>
        <v>3.762</v>
      </c>
      <c r="I57" s="3">
        <f t="shared" si="3"/>
        <v>18.81</v>
      </c>
      <c r="J57" s="7">
        <f t="shared" si="4"/>
        <v>17015433.62</v>
      </c>
      <c r="K57" s="3" t="str">
        <f t="shared" si="15"/>
        <v>MIS</v>
      </c>
      <c r="L57" s="7">
        <f t="shared" si="6"/>
        <v>6958.326087</v>
      </c>
      <c r="M57" s="6">
        <f t="shared" si="7"/>
        <v>0.3563965106</v>
      </c>
      <c r="N57" s="14">
        <f t="shared" si="8"/>
        <v>7.448687071</v>
      </c>
      <c r="P57" s="3" t="s">
        <v>90</v>
      </c>
      <c r="Q57" s="3" t="str">
        <f t="shared" si="9"/>
        <v>unknown</v>
      </c>
      <c r="S57" s="8" t="str">
        <f t="shared" si="10"/>
        <v/>
      </c>
      <c r="V57" s="3" t="str">
        <f t="shared" si="11"/>
        <v/>
      </c>
    </row>
    <row r="58" ht="12.75" customHeight="1">
      <c r="A58" s="3" t="s">
        <v>74</v>
      </c>
      <c r="B58" s="3" t="s">
        <v>172</v>
      </c>
      <c r="C58" s="3">
        <v>18.0</v>
      </c>
      <c r="D58" s="3">
        <v>100.0</v>
      </c>
      <c r="E58" s="3" t="s">
        <v>173</v>
      </c>
      <c r="F58" s="3">
        <v>2.0</v>
      </c>
      <c r="G58" s="3">
        <f t="shared" si="1"/>
        <v>18</v>
      </c>
      <c r="H58" s="3">
        <f t="shared" si="2"/>
        <v>9</v>
      </c>
      <c r="I58" s="3">
        <f t="shared" si="3"/>
        <v>18</v>
      </c>
      <c r="J58" s="7">
        <f t="shared" si="4"/>
        <v>16282711.6</v>
      </c>
      <c r="K58" s="3" t="str">
        <f t="shared" si="15"/>
        <v>MIS</v>
      </c>
      <c r="L58" s="7">
        <f t="shared" si="6"/>
        <v>6750.841561</v>
      </c>
      <c r="M58" s="6">
        <f t="shared" si="7"/>
        <v>0.353399514</v>
      </c>
      <c r="N58" s="14">
        <f t="shared" si="8"/>
        <v>6.361191253</v>
      </c>
      <c r="P58" s="3" t="s">
        <v>90</v>
      </c>
      <c r="Q58" s="3" t="str">
        <f t="shared" si="9"/>
        <v>unknown</v>
      </c>
      <c r="S58" s="8" t="str">
        <f t="shared" si="10"/>
        <v/>
      </c>
      <c r="V58" s="3" t="str">
        <f t="shared" si="11"/>
        <v/>
      </c>
    </row>
    <row r="59" ht="12.75" customHeight="1">
      <c r="A59" s="3" t="s">
        <v>40</v>
      </c>
      <c r="B59" s="18" t="s">
        <v>174</v>
      </c>
      <c r="C59" s="3">
        <v>17.5</v>
      </c>
      <c r="D59" s="3">
        <v>100.0</v>
      </c>
      <c r="E59" s="3" t="s">
        <v>54</v>
      </c>
      <c r="F59" s="3">
        <v>3.0</v>
      </c>
      <c r="G59" s="3">
        <f t="shared" si="1"/>
        <v>17.5</v>
      </c>
      <c r="H59" s="3">
        <f t="shared" si="2"/>
        <v>5.833333333</v>
      </c>
      <c r="I59" s="3">
        <f t="shared" si="3"/>
        <v>17.5</v>
      </c>
      <c r="J59" s="7">
        <f t="shared" si="4"/>
        <v>15830414.06</v>
      </c>
      <c r="K59" s="3" t="str">
        <f t="shared" si="15"/>
        <v>MIS</v>
      </c>
      <c r="L59" s="7">
        <f t="shared" si="6"/>
        <v>6621.309718</v>
      </c>
      <c r="M59" s="6">
        <f t="shared" si="7"/>
        <v>0.3514721144</v>
      </c>
      <c r="N59" s="14">
        <f t="shared" si="8"/>
        <v>6.150762002</v>
      </c>
      <c r="P59" s="3" t="s">
        <v>43</v>
      </c>
      <c r="Q59" s="3" t="str">
        <f t="shared" si="9"/>
        <v>completed</v>
      </c>
      <c r="R59" s="3" t="s">
        <v>103</v>
      </c>
      <c r="S59" s="8">
        <f t="shared" si="10"/>
        <v>8</v>
      </c>
      <c r="T59" s="8">
        <v>5.0</v>
      </c>
      <c r="U59" s="3">
        <v>22.8</v>
      </c>
      <c r="V59" s="3">
        <f t="shared" si="11"/>
        <v>5.3</v>
      </c>
      <c r="W59" s="3" t="s">
        <v>79</v>
      </c>
      <c r="X59" s="15" t="s">
        <v>175</v>
      </c>
    </row>
    <row r="60" ht="12.75" customHeight="1">
      <c r="A60" s="3" t="s">
        <v>176</v>
      </c>
      <c r="B60" s="18" t="s">
        <v>177</v>
      </c>
      <c r="C60" s="3">
        <v>42.0</v>
      </c>
      <c r="D60" s="3">
        <v>37.5</v>
      </c>
      <c r="E60" s="3" t="s">
        <v>178</v>
      </c>
      <c r="F60" s="3">
        <f>POWER(G60,0.2911873)*1.537648</f>
        <v>3.431545966</v>
      </c>
      <c r="G60" s="3">
        <f t="shared" si="1"/>
        <v>15.75</v>
      </c>
      <c r="H60" s="3">
        <f t="shared" si="2"/>
        <v>4.589768039</v>
      </c>
      <c r="I60" s="3">
        <f t="shared" si="3"/>
        <v>15.75</v>
      </c>
      <c r="J60" s="7">
        <f t="shared" si="4"/>
        <v>14247372.65</v>
      </c>
      <c r="K60" s="3" t="str">
        <f t="shared" si="15"/>
        <v>MIS</v>
      </c>
      <c r="L60" s="7">
        <f t="shared" si="6"/>
        <v>6158.501724</v>
      </c>
      <c r="M60" s="6">
        <f t="shared" si="7"/>
        <v>0.3442047419</v>
      </c>
      <c r="N60" s="14">
        <f t="shared" si="8"/>
        <v>14.45659916</v>
      </c>
      <c r="P60" s="3" t="s">
        <v>43</v>
      </c>
      <c r="Q60" s="3" t="str">
        <f t="shared" si="9"/>
        <v>completed</v>
      </c>
      <c r="S60" s="8" t="str">
        <f t="shared" si="10"/>
        <v/>
      </c>
      <c r="V60" s="3" t="str">
        <f t="shared" si="11"/>
        <v/>
      </c>
      <c r="X60" s="16" t="s">
        <v>179</v>
      </c>
    </row>
    <row r="61" ht="12.75" customHeight="1">
      <c r="A61" s="3" t="s">
        <v>40</v>
      </c>
      <c r="B61" s="3" t="s">
        <v>180</v>
      </c>
      <c r="C61" s="3">
        <v>15.0</v>
      </c>
      <c r="D61" s="3">
        <v>100.0</v>
      </c>
      <c r="E61" s="3" t="s">
        <v>181</v>
      </c>
      <c r="F61" s="3">
        <v>2.6</v>
      </c>
      <c r="G61" s="3">
        <f t="shared" si="1"/>
        <v>15</v>
      </c>
      <c r="H61" s="3">
        <f t="shared" si="2"/>
        <v>5.769230769</v>
      </c>
      <c r="I61" s="3">
        <f t="shared" si="3"/>
        <v>15</v>
      </c>
      <c r="J61" s="7">
        <f t="shared" si="4"/>
        <v>13568926.33</v>
      </c>
      <c r="K61" s="3" t="str">
        <f t="shared" si="15"/>
        <v>MIS</v>
      </c>
      <c r="L61" s="7">
        <f t="shared" si="6"/>
        <v>5955.284774</v>
      </c>
      <c r="M61" s="6">
        <f t="shared" si="7"/>
        <v>0.3408110431</v>
      </c>
      <c r="N61" s="14">
        <f t="shared" si="8"/>
        <v>5.112165646</v>
      </c>
      <c r="P61" s="3" t="s">
        <v>71</v>
      </c>
      <c r="Q61" s="3" t="str">
        <f t="shared" si="9"/>
        <v>cancelled</v>
      </c>
      <c r="S61" s="8" t="str">
        <f t="shared" si="10"/>
        <v/>
      </c>
      <c r="V61" s="3" t="str">
        <f t="shared" si="11"/>
        <v/>
      </c>
      <c r="X61" s="3" t="s">
        <v>61</v>
      </c>
    </row>
    <row r="62" ht="12.75" customHeight="1">
      <c r="A62" s="3" t="s">
        <v>40</v>
      </c>
      <c r="B62" s="3" t="s">
        <v>182</v>
      </c>
      <c r="C62" s="3">
        <v>30.0</v>
      </c>
      <c r="D62" s="3">
        <v>50.0</v>
      </c>
      <c r="E62" s="3" t="s">
        <v>183</v>
      </c>
      <c r="F62" s="3">
        <f>POWER(G62,0.2911873)*1.537648</f>
        <v>3.383138411</v>
      </c>
      <c r="G62" s="3">
        <f t="shared" si="1"/>
        <v>15</v>
      </c>
      <c r="H62" s="3">
        <f t="shared" si="2"/>
        <v>4.433752977</v>
      </c>
      <c r="I62" s="3">
        <f t="shared" si="3"/>
        <v>15</v>
      </c>
      <c r="J62" s="7">
        <f t="shared" si="4"/>
        <v>13568926.33</v>
      </c>
      <c r="K62" s="3" t="str">
        <f t="shared" si="15"/>
        <v>MIS</v>
      </c>
      <c r="L62" s="7">
        <f t="shared" si="6"/>
        <v>5955.284774</v>
      </c>
      <c r="M62" s="6">
        <f t="shared" si="7"/>
        <v>0.3408110431</v>
      </c>
      <c r="N62" s="14">
        <f t="shared" si="8"/>
        <v>10.22433129</v>
      </c>
      <c r="P62" s="3" t="s">
        <v>71</v>
      </c>
      <c r="Q62" s="3" t="str">
        <f t="shared" si="9"/>
        <v>cancelled</v>
      </c>
      <c r="S62" s="8" t="str">
        <f t="shared" si="10"/>
        <v/>
      </c>
      <c r="V62" s="3" t="str">
        <f t="shared" si="11"/>
        <v/>
      </c>
      <c r="X62" s="3" t="s">
        <v>61</v>
      </c>
    </row>
    <row r="63" ht="12.75" customHeight="1">
      <c r="A63" s="3" t="s">
        <v>74</v>
      </c>
      <c r="B63" s="3" t="s">
        <v>184</v>
      </c>
      <c r="C63" s="3">
        <v>16.0</v>
      </c>
      <c r="D63" s="3">
        <v>90.0</v>
      </c>
      <c r="E63" s="3" t="s">
        <v>89</v>
      </c>
      <c r="F63" s="3">
        <v>4.0</v>
      </c>
      <c r="G63" s="3">
        <f t="shared" si="1"/>
        <v>14.4</v>
      </c>
      <c r="H63" s="3">
        <f t="shared" si="2"/>
        <v>3.6</v>
      </c>
      <c r="I63" s="3">
        <f t="shared" si="3"/>
        <v>14.4</v>
      </c>
      <c r="J63" s="7">
        <f t="shared" si="4"/>
        <v>13026169.28</v>
      </c>
      <c r="K63" s="3" t="str">
        <f t="shared" si="15"/>
        <v>MIS</v>
      </c>
      <c r="L63" s="7">
        <f t="shared" si="6"/>
        <v>5790.417984</v>
      </c>
      <c r="M63" s="6">
        <f t="shared" si="7"/>
        <v>0.3379594068</v>
      </c>
      <c r="N63" s="14">
        <f t="shared" si="8"/>
        <v>5.407350509</v>
      </c>
      <c r="P63" s="3" t="s">
        <v>43</v>
      </c>
      <c r="Q63" s="3" t="str">
        <f t="shared" si="9"/>
        <v>completed</v>
      </c>
      <c r="S63" s="8" t="str">
        <f t="shared" si="10"/>
        <v/>
      </c>
      <c r="V63" s="3" t="str">
        <f t="shared" si="11"/>
        <v/>
      </c>
      <c r="X63" s="16" t="s">
        <v>185</v>
      </c>
    </row>
    <row r="64" ht="12.75" customHeight="1">
      <c r="A64" s="3" t="s">
        <v>46</v>
      </c>
      <c r="B64" s="3" t="s">
        <v>186</v>
      </c>
      <c r="C64" s="3">
        <v>20.5</v>
      </c>
      <c r="D64" s="3">
        <v>70.0</v>
      </c>
      <c r="E64" s="3" t="s">
        <v>64</v>
      </c>
      <c r="F64" s="3">
        <v>4.0</v>
      </c>
      <c r="G64" s="3">
        <f t="shared" si="1"/>
        <v>14.35</v>
      </c>
      <c r="H64" s="3">
        <f t="shared" si="2"/>
        <v>3.5875</v>
      </c>
      <c r="I64" s="3">
        <f t="shared" si="3"/>
        <v>14.35</v>
      </c>
      <c r="J64" s="7">
        <f t="shared" si="4"/>
        <v>12980939.53</v>
      </c>
      <c r="K64" s="3" t="str">
        <f t="shared" si="15"/>
        <v>MIS</v>
      </c>
      <c r="L64" s="7">
        <f t="shared" si="6"/>
        <v>5776.583224</v>
      </c>
      <c r="M64" s="6">
        <f t="shared" si="7"/>
        <v>0.3377159503</v>
      </c>
      <c r="N64" s="14">
        <f t="shared" si="8"/>
        <v>6.923176981</v>
      </c>
      <c r="P64" s="3" t="s">
        <v>71</v>
      </c>
      <c r="Q64" s="3" t="str">
        <f t="shared" si="9"/>
        <v>cancelled</v>
      </c>
      <c r="S64" s="8" t="str">
        <f t="shared" si="10"/>
        <v/>
      </c>
      <c r="V64" s="3" t="str">
        <f t="shared" si="11"/>
        <v/>
      </c>
      <c r="X64" s="3" t="s">
        <v>61</v>
      </c>
    </row>
    <row r="65" ht="12.75" customHeight="1">
      <c r="A65" s="3" t="s">
        <v>46</v>
      </c>
      <c r="B65" s="3" t="s">
        <v>187</v>
      </c>
      <c r="C65" s="3">
        <v>18.7</v>
      </c>
      <c r="D65" s="3">
        <v>70.0</v>
      </c>
      <c r="E65" s="3" t="s">
        <v>188</v>
      </c>
      <c r="F65" s="3">
        <v>5.0</v>
      </c>
      <c r="G65" s="3">
        <f t="shared" si="1"/>
        <v>13.09</v>
      </c>
      <c r="H65" s="3">
        <f t="shared" si="2"/>
        <v>2.618</v>
      </c>
      <c r="I65" s="3">
        <f t="shared" si="3"/>
        <v>13.09</v>
      </c>
      <c r="J65" s="7">
        <f t="shared" si="4"/>
        <v>11841149.71</v>
      </c>
      <c r="K65" s="3" t="str">
        <f t="shared" si="15"/>
        <v>MIS</v>
      </c>
      <c r="L65" s="7">
        <f t="shared" si="6"/>
        <v>5422.782027</v>
      </c>
      <c r="M65" s="6">
        <f t="shared" si="7"/>
        <v>0.3312587248</v>
      </c>
      <c r="N65" s="14">
        <f t="shared" si="8"/>
        <v>6.194538154</v>
      </c>
      <c r="P65" s="3" t="s">
        <v>71</v>
      </c>
      <c r="Q65" s="3" t="str">
        <f t="shared" si="9"/>
        <v>cancelled</v>
      </c>
      <c r="S65" s="8" t="str">
        <f t="shared" si="10"/>
        <v/>
      </c>
      <c r="V65" s="3" t="str">
        <f t="shared" si="11"/>
        <v/>
      </c>
      <c r="X65" s="3" t="s">
        <v>61</v>
      </c>
    </row>
    <row r="66" ht="12.75" customHeight="1">
      <c r="A66" s="3" t="s">
        <v>62</v>
      </c>
      <c r="B66" s="3" t="s">
        <v>189</v>
      </c>
      <c r="C66" s="3">
        <v>20.6</v>
      </c>
      <c r="D66" s="3">
        <v>60.0</v>
      </c>
      <c r="E66" s="3" t="s">
        <v>190</v>
      </c>
      <c r="F66" s="3">
        <v>2.5</v>
      </c>
      <c r="G66" s="3">
        <f t="shared" si="1"/>
        <v>12.36</v>
      </c>
      <c r="H66" s="3">
        <f t="shared" si="2"/>
        <v>4.944</v>
      </c>
      <c r="I66" s="3">
        <f t="shared" si="3"/>
        <v>12.36</v>
      </c>
      <c r="J66" s="7">
        <f t="shared" si="4"/>
        <v>11180795.3</v>
      </c>
      <c r="K66" s="3" t="str">
        <f t="shared" si="15"/>
        <v>MIS</v>
      </c>
      <c r="L66" s="7">
        <f t="shared" si="6"/>
        <v>5212.944339</v>
      </c>
      <c r="M66" s="6">
        <f t="shared" si="7"/>
        <v>0.327205568</v>
      </c>
      <c r="N66" s="14">
        <f t="shared" si="8"/>
        <v>6.740434701</v>
      </c>
      <c r="P66" s="3" t="s">
        <v>71</v>
      </c>
      <c r="Q66" s="3" t="str">
        <f t="shared" si="9"/>
        <v>cancelled</v>
      </c>
      <c r="S66" s="8" t="str">
        <f t="shared" si="10"/>
        <v/>
      </c>
      <c r="V66" s="3" t="str">
        <f t="shared" si="11"/>
        <v/>
      </c>
      <c r="X66" s="3" t="s">
        <v>61</v>
      </c>
    </row>
    <row r="67" ht="12.75" customHeight="1">
      <c r="A67" s="3" t="s">
        <v>46</v>
      </c>
      <c r="B67" s="3" t="s">
        <v>191</v>
      </c>
      <c r="C67" s="3">
        <v>20.0</v>
      </c>
      <c r="D67" s="3">
        <v>60.0</v>
      </c>
      <c r="E67" s="3" t="s">
        <v>192</v>
      </c>
      <c r="F67" s="3">
        <f>POWER(G67,0.2911873)*1.537648</f>
        <v>3.170303214</v>
      </c>
      <c r="G67" s="3">
        <f t="shared" si="1"/>
        <v>12</v>
      </c>
      <c r="H67" s="3">
        <f t="shared" si="2"/>
        <v>3.785126908</v>
      </c>
      <c r="I67" s="3">
        <f t="shared" si="3"/>
        <v>12</v>
      </c>
      <c r="J67" s="7">
        <f t="shared" si="4"/>
        <v>10855141.07</v>
      </c>
      <c r="K67" s="3" t="str">
        <f t="shared" si="15"/>
        <v>MIS</v>
      </c>
      <c r="L67" s="7">
        <f t="shared" si="6"/>
        <v>5108.042864</v>
      </c>
      <c r="M67" s="6">
        <f t="shared" si="7"/>
        <v>0.3251123546</v>
      </c>
      <c r="N67" s="14">
        <f t="shared" si="8"/>
        <v>6.502247091</v>
      </c>
      <c r="P67" s="3" t="s">
        <v>71</v>
      </c>
      <c r="Q67" s="3" t="str">
        <f t="shared" si="9"/>
        <v>cancelled</v>
      </c>
      <c r="S67" s="8" t="str">
        <f t="shared" si="10"/>
        <v/>
      </c>
      <c r="V67" s="3" t="str">
        <f t="shared" si="11"/>
        <v/>
      </c>
      <c r="X67" s="3" t="s">
        <v>61</v>
      </c>
    </row>
    <row r="68" ht="12.75" customHeight="1">
      <c r="A68" s="3" t="s">
        <v>94</v>
      </c>
      <c r="B68" s="3" t="s">
        <v>193</v>
      </c>
      <c r="C68" s="3">
        <v>25.0</v>
      </c>
      <c r="D68" s="3">
        <v>45.0</v>
      </c>
      <c r="E68" s="3" t="s">
        <v>194</v>
      </c>
      <c r="F68" s="3">
        <v>2.0</v>
      </c>
      <c r="G68" s="3">
        <f t="shared" si="1"/>
        <v>11.25</v>
      </c>
      <c r="H68" s="3">
        <f t="shared" si="2"/>
        <v>5.625</v>
      </c>
      <c r="I68" s="3">
        <f t="shared" si="3"/>
        <v>11.25</v>
      </c>
      <c r="J68" s="7">
        <f t="shared" si="4"/>
        <v>10176694.75</v>
      </c>
      <c r="K68" s="3" t="str">
        <f t="shared" si="15"/>
        <v>MIS</v>
      </c>
      <c r="L68" s="7">
        <f t="shared" si="6"/>
        <v>4886.279624</v>
      </c>
      <c r="M68" s="6">
        <f t="shared" si="7"/>
        <v>0.3205313109</v>
      </c>
      <c r="N68" s="14">
        <f t="shared" si="8"/>
        <v>8.013282772</v>
      </c>
      <c r="P68" s="3" t="s">
        <v>90</v>
      </c>
      <c r="Q68" s="3" t="str">
        <f t="shared" si="9"/>
        <v>unknown</v>
      </c>
      <c r="S68" s="8" t="str">
        <f t="shared" si="10"/>
        <v/>
      </c>
      <c r="V68" s="3" t="str">
        <f t="shared" si="11"/>
        <v/>
      </c>
    </row>
    <row r="69" ht="12.75" customHeight="1">
      <c r="A69" s="3" t="s">
        <v>62</v>
      </c>
      <c r="B69" s="3" t="s">
        <v>195</v>
      </c>
      <c r="C69" s="3">
        <v>11.0</v>
      </c>
      <c r="D69" s="3">
        <v>100.0</v>
      </c>
      <c r="E69" s="3" t="s">
        <v>92</v>
      </c>
      <c r="F69" s="3">
        <v>3.0</v>
      </c>
      <c r="G69" s="3">
        <f t="shared" si="1"/>
        <v>11</v>
      </c>
      <c r="H69" s="3">
        <f t="shared" si="2"/>
        <v>3.666666667</v>
      </c>
      <c r="I69" s="3">
        <f t="shared" si="3"/>
        <v>11</v>
      </c>
      <c r="J69" s="7">
        <f t="shared" si="4"/>
        <v>9950545.978</v>
      </c>
      <c r="K69" s="3" t="str">
        <f t="shared" si="15"/>
        <v>MIS</v>
      </c>
      <c r="L69" s="7">
        <f t="shared" si="6"/>
        <v>4811.341415</v>
      </c>
      <c r="M69" s="6">
        <f t="shared" si="7"/>
        <v>0.3189331816</v>
      </c>
      <c r="N69" s="14">
        <f t="shared" si="8"/>
        <v>3.508264998</v>
      </c>
      <c r="P69" s="3" t="s">
        <v>43</v>
      </c>
      <c r="Q69" s="3" t="str">
        <f t="shared" si="9"/>
        <v>completed</v>
      </c>
      <c r="R69" s="3" t="s">
        <v>160</v>
      </c>
      <c r="S69" s="8">
        <f t="shared" si="10"/>
        <v>5</v>
      </c>
      <c r="T69" s="8">
        <v>2.0</v>
      </c>
      <c r="U69" s="3">
        <v>111.0</v>
      </c>
      <c r="V69" s="3">
        <f t="shared" si="11"/>
        <v>100</v>
      </c>
      <c r="W69" s="3" t="s">
        <v>79</v>
      </c>
      <c r="X69" s="15" t="s">
        <v>196</v>
      </c>
    </row>
    <row r="70" ht="12.75" customHeight="1">
      <c r="A70" s="3" t="s">
        <v>40</v>
      </c>
      <c r="B70" s="3" t="s">
        <v>197</v>
      </c>
      <c r="C70" s="3">
        <v>12.0</v>
      </c>
      <c r="D70" s="3">
        <v>85.0</v>
      </c>
      <c r="E70" s="3" t="s">
        <v>198</v>
      </c>
      <c r="F70" s="3">
        <v>1.5</v>
      </c>
      <c r="G70" s="3">
        <f t="shared" si="1"/>
        <v>10.2</v>
      </c>
      <c r="H70" s="3">
        <f t="shared" si="2"/>
        <v>6.8</v>
      </c>
      <c r="I70" s="3">
        <f t="shared" si="3"/>
        <v>10.2</v>
      </c>
      <c r="J70" s="7">
        <f t="shared" si="4"/>
        <v>9226869.907</v>
      </c>
      <c r="K70" s="3" t="str">
        <f t="shared" si="15"/>
        <v>MIS</v>
      </c>
      <c r="L70" s="7">
        <f t="shared" si="6"/>
        <v>4567.870197</v>
      </c>
      <c r="M70" s="6">
        <f t="shared" si="7"/>
        <v>0.3135548363</v>
      </c>
      <c r="N70" s="14">
        <f t="shared" si="8"/>
        <v>3.762658036</v>
      </c>
      <c r="P70" s="3" t="s">
        <v>71</v>
      </c>
      <c r="Q70" s="3" t="str">
        <f t="shared" si="9"/>
        <v>cancelled</v>
      </c>
      <c r="S70" s="8" t="str">
        <f t="shared" si="10"/>
        <v/>
      </c>
      <c r="V70" s="3" t="str">
        <f t="shared" si="11"/>
        <v/>
      </c>
      <c r="X70" s="3" t="s">
        <v>61</v>
      </c>
    </row>
    <row r="71" ht="12.75" customHeight="1">
      <c r="A71" s="3" t="s">
        <v>170</v>
      </c>
      <c r="B71" s="3" t="s">
        <v>199</v>
      </c>
      <c r="C71" s="3">
        <v>20.0</v>
      </c>
      <c r="D71" s="3">
        <v>50.0</v>
      </c>
      <c r="E71" s="3" t="s">
        <v>200</v>
      </c>
      <c r="F71" s="3">
        <v>8.0</v>
      </c>
      <c r="G71" s="3">
        <f t="shared" si="1"/>
        <v>10</v>
      </c>
      <c r="H71" s="3">
        <f t="shared" si="2"/>
        <v>1.25</v>
      </c>
      <c r="I71" s="3">
        <f t="shared" si="3"/>
        <v>10</v>
      </c>
      <c r="J71" s="7">
        <f t="shared" si="4"/>
        <v>9045950.889</v>
      </c>
      <c r="K71" s="3" t="str">
        <f t="shared" si="15"/>
        <v>MIS</v>
      </c>
      <c r="L71" s="7">
        <f t="shared" si="6"/>
        <v>4506.08263</v>
      </c>
      <c r="M71" s="6">
        <f t="shared" si="7"/>
        <v>0.3121425458</v>
      </c>
      <c r="N71" s="14">
        <f t="shared" si="8"/>
        <v>6.242850916</v>
      </c>
      <c r="P71" s="3" t="s">
        <v>71</v>
      </c>
      <c r="Q71" s="3" t="str">
        <f t="shared" si="9"/>
        <v>cancelled</v>
      </c>
      <c r="S71" s="8" t="str">
        <f t="shared" si="10"/>
        <v/>
      </c>
      <c r="V71" s="3" t="str">
        <f t="shared" si="11"/>
        <v/>
      </c>
      <c r="X71" s="3" t="s">
        <v>61</v>
      </c>
    </row>
    <row r="72" ht="12.75" customHeight="1">
      <c r="A72" s="3" t="s">
        <v>40</v>
      </c>
      <c r="B72" s="3" t="s">
        <v>201</v>
      </c>
      <c r="C72" s="3">
        <v>19.0</v>
      </c>
      <c r="D72" s="3">
        <v>51.0</v>
      </c>
      <c r="E72" s="3" t="s">
        <v>202</v>
      </c>
      <c r="F72" s="3">
        <v>2.5</v>
      </c>
      <c r="G72" s="3">
        <f t="shared" si="1"/>
        <v>9.69</v>
      </c>
      <c r="H72" s="3">
        <f t="shared" si="2"/>
        <v>3.876</v>
      </c>
      <c r="I72" s="3">
        <f t="shared" si="3"/>
        <v>9.69</v>
      </c>
      <c r="J72" s="7">
        <f t="shared" si="4"/>
        <v>8765526.412</v>
      </c>
      <c r="K72" s="3" t="str">
        <f t="shared" si="15"/>
        <v>MIS</v>
      </c>
      <c r="L72" s="7">
        <f t="shared" si="6"/>
        <v>4409.543096</v>
      </c>
      <c r="M72" s="6">
        <f t="shared" si="7"/>
        <v>0.3098955922</v>
      </c>
      <c r="N72" s="14">
        <f t="shared" si="8"/>
        <v>5.888016252</v>
      </c>
      <c r="P72" s="3" t="s">
        <v>71</v>
      </c>
      <c r="Q72" s="3" t="str">
        <f t="shared" si="9"/>
        <v>cancelled</v>
      </c>
      <c r="S72" s="8" t="str">
        <f t="shared" si="10"/>
        <v/>
      </c>
      <c r="V72" s="3" t="str">
        <f t="shared" si="11"/>
        <v/>
      </c>
      <c r="X72" s="3" t="s">
        <v>61</v>
      </c>
    </row>
    <row r="73" ht="12.75" customHeight="1">
      <c r="A73" s="3" t="s">
        <v>81</v>
      </c>
      <c r="B73" s="3" t="s">
        <v>203</v>
      </c>
      <c r="C73" s="3">
        <v>200.0</v>
      </c>
      <c r="D73" s="3">
        <v>100.0</v>
      </c>
      <c r="E73" s="3" t="s">
        <v>204</v>
      </c>
      <c r="F73" s="3">
        <v>14.0</v>
      </c>
      <c r="G73" s="3">
        <f t="shared" si="1"/>
        <v>200</v>
      </c>
      <c r="H73" s="3">
        <f t="shared" si="2"/>
        <v>14.28571429</v>
      </c>
      <c r="I73" s="3">
        <f t="shared" si="3"/>
        <v>200</v>
      </c>
      <c r="J73" s="7">
        <f t="shared" si="4"/>
        <v>180919017.8</v>
      </c>
      <c r="K73" s="3" t="str">
        <f t="shared" si="15"/>
        <v>Military</v>
      </c>
      <c r="L73" s="7">
        <f t="shared" si="6"/>
        <v>21560.33332</v>
      </c>
      <c r="M73" s="6">
        <f t="shared" si="7"/>
        <v>0.2833495631</v>
      </c>
      <c r="N73" s="14">
        <f t="shared" si="8"/>
        <v>56.66991263</v>
      </c>
      <c r="P73" s="3" t="s">
        <v>90</v>
      </c>
      <c r="Q73" s="3" t="str">
        <f t="shared" si="9"/>
        <v>unknown</v>
      </c>
      <c r="S73" s="8" t="str">
        <f t="shared" si="10"/>
        <v/>
      </c>
      <c r="V73" s="3" t="str">
        <f t="shared" si="11"/>
        <v/>
      </c>
    </row>
    <row r="74" ht="12.75" customHeight="1">
      <c r="A74" s="3" t="s">
        <v>81</v>
      </c>
      <c r="B74" s="3" t="s">
        <v>205</v>
      </c>
      <c r="C74" s="3">
        <v>158.5</v>
      </c>
      <c r="D74" s="3">
        <v>100.0</v>
      </c>
      <c r="E74" s="3" t="s">
        <v>206</v>
      </c>
      <c r="F74" s="3">
        <v>8.0</v>
      </c>
      <c r="G74" s="3">
        <f t="shared" si="1"/>
        <v>158.5</v>
      </c>
      <c r="H74" s="3">
        <f t="shared" si="2"/>
        <v>19.8125</v>
      </c>
      <c r="I74" s="3">
        <f t="shared" si="3"/>
        <v>158.5</v>
      </c>
      <c r="J74" s="7">
        <f t="shared" si="4"/>
        <v>143378321.6</v>
      </c>
      <c r="K74" s="3" t="str">
        <f t="shared" si="15"/>
        <v>Military</v>
      </c>
      <c r="L74" s="7">
        <f t="shared" si="6"/>
        <v>18404.9129</v>
      </c>
      <c r="M74" s="6">
        <f t="shared" si="7"/>
        <v>0.2755333856</v>
      </c>
      <c r="N74" s="14">
        <f t="shared" si="8"/>
        <v>43.67204161</v>
      </c>
      <c r="P74" s="3" t="s">
        <v>43</v>
      </c>
      <c r="Q74" s="3" t="str">
        <f t="shared" si="9"/>
        <v>completed</v>
      </c>
      <c r="S74" s="8" t="str">
        <f t="shared" si="10"/>
        <v/>
      </c>
      <c r="V74" s="3" t="str">
        <f t="shared" si="11"/>
        <v/>
      </c>
      <c r="X74" s="15" t="s">
        <v>207</v>
      </c>
    </row>
    <row r="75" ht="12.75" customHeight="1">
      <c r="A75" s="3" t="s">
        <v>81</v>
      </c>
      <c r="B75" s="3" t="s">
        <v>208</v>
      </c>
      <c r="C75" s="3">
        <v>36.1</v>
      </c>
      <c r="D75" s="3">
        <v>22.0</v>
      </c>
      <c r="E75" s="3" t="s">
        <v>188</v>
      </c>
      <c r="F75" s="3">
        <v>5.0</v>
      </c>
      <c r="G75" s="3">
        <f t="shared" si="1"/>
        <v>7.942</v>
      </c>
      <c r="H75" s="3">
        <f t="shared" si="2"/>
        <v>1.5884</v>
      </c>
      <c r="I75" s="3">
        <f t="shared" si="3"/>
        <v>7.942</v>
      </c>
      <c r="J75" s="7">
        <f t="shared" si="4"/>
        <v>7184294.196</v>
      </c>
      <c r="K75" s="3" t="s">
        <v>84</v>
      </c>
      <c r="L75" s="7">
        <f t="shared" si="6"/>
        <v>3845.72167</v>
      </c>
      <c r="M75" s="6">
        <f t="shared" si="7"/>
        <v>0.2956931854</v>
      </c>
      <c r="N75" s="14">
        <f t="shared" si="8"/>
        <v>10.67452399</v>
      </c>
      <c r="P75" s="3" t="s">
        <v>43</v>
      </c>
      <c r="Q75" s="3" t="str">
        <f t="shared" si="9"/>
        <v>completed</v>
      </c>
      <c r="R75" s="3" t="s">
        <v>160</v>
      </c>
      <c r="S75" s="8">
        <f t="shared" si="10"/>
        <v>7</v>
      </c>
      <c r="T75" s="8">
        <v>2.0</v>
      </c>
      <c r="U75" s="3">
        <v>37.9</v>
      </c>
      <c r="V75" s="3">
        <f t="shared" si="11"/>
        <v>1.8</v>
      </c>
      <c r="W75" s="3" t="s">
        <v>79</v>
      </c>
      <c r="X75" s="15" t="s">
        <v>209</v>
      </c>
    </row>
    <row r="76" ht="12.75" customHeight="1">
      <c r="A76" s="3" t="s">
        <v>81</v>
      </c>
      <c r="B76" s="3" t="s">
        <v>210</v>
      </c>
      <c r="C76" s="3">
        <v>120.6</v>
      </c>
      <c r="D76" s="3">
        <v>80.0</v>
      </c>
      <c r="E76" s="3" t="s">
        <v>211</v>
      </c>
      <c r="F76" s="3">
        <v>11.0</v>
      </c>
      <c r="G76" s="3">
        <f t="shared" si="1"/>
        <v>96.48</v>
      </c>
      <c r="H76" s="3">
        <f t="shared" si="2"/>
        <v>8.770909091</v>
      </c>
      <c r="I76" s="3">
        <f t="shared" si="3"/>
        <v>96.48</v>
      </c>
      <c r="J76" s="7">
        <f t="shared" si="4"/>
        <v>87275334.18</v>
      </c>
      <c r="K76" s="3" t="str">
        <f t="shared" ref="K76:K82" si="16">IF(A76="DEF","Military","MIS")</f>
        <v>Military</v>
      </c>
      <c r="L76" s="7">
        <f t="shared" si="6"/>
        <v>13129.35116</v>
      </c>
      <c r="M76" s="6">
        <f t="shared" si="7"/>
        <v>0.2576147849</v>
      </c>
      <c r="N76" s="14">
        <f t="shared" si="8"/>
        <v>31.06834306</v>
      </c>
      <c r="P76" s="3" t="s">
        <v>43</v>
      </c>
      <c r="Q76" s="3" t="str">
        <f t="shared" si="9"/>
        <v>completed</v>
      </c>
      <c r="S76" s="8" t="str">
        <f t="shared" si="10"/>
        <v/>
      </c>
      <c r="V76" s="3" t="str">
        <f t="shared" si="11"/>
        <v/>
      </c>
      <c r="X76" s="16" t="s">
        <v>212</v>
      </c>
    </row>
    <row r="77" ht="12.75" customHeight="1">
      <c r="A77" s="3" t="s">
        <v>81</v>
      </c>
      <c r="B77" s="3" t="s">
        <v>213</v>
      </c>
      <c r="C77" s="3">
        <v>97.1</v>
      </c>
      <c r="D77" s="3">
        <v>95.0</v>
      </c>
      <c r="E77" s="3" t="s">
        <v>214</v>
      </c>
      <c r="F77" s="3">
        <v>6.0</v>
      </c>
      <c r="G77" s="3">
        <f t="shared" si="1"/>
        <v>92.245</v>
      </c>
      <c r="H77" s="3">
        <f t="shared" si="2"/>
        <v>15.37416667</v>
      </c>
      <c r="I77" s="3">
        <f t="shared" si="3"/>
        <v>92.245</v>
      </c>
      <c r="J77" s="7">
        <f t="shared" si="4"/>
        <v>83444373.98</v>
      </c>
      <c r="K77" s="3" t="str">
        <f t="shared" si="16"/>
        <v>Military</v>
      </c>
      <c r="L77" s="7">
        <f t="shared" si="6"/>
        <v>12734.41732</v>
      </c>
      <c r="M77" s="6">
        <f t="shared" si="7"/>
        <v>0.2559259162</v>
      </c>
      <c r="N77" s="14">
        <f t="shared" si="8"/>
        <v>24.85040647</v>
      </c>
      <c r="P77" s="3" t="s">
        <v>43</v>
      </c>
      <c r="Q77" s="3" t="str">
        <f t="shared" si="9"/>
        <v>completed</v>
      </c>
      <c r="S77" s="8" t="str">
        <f t="shared" si="10"/>
        <v/>
      </c>
      <c r="V77" s="3" t="str">
        <f t="shared" ref="V77:V82" si="17">IF(U77 - C77 &gt; 0, U77 - C77, "")</f>
        <v/>
      </c>
      <c r="X77" s="16" t="s">
        <v>215</v>
      </c>
    </row>
    <row r="78" ht="12.75" customHeight="1">
      <c r="A78" s="3" t="s">
        <v>216</v>
      </c>
      <c r="B78" s="3" t="s">
        <v>217</v>
      </c>
      <c r="C78" s="3">
        <v>14.27</v>
      </c>
      <c r="D78" s="3">
        <v>35.0</v>
      </c>
      <c r="E78" s="3" t="s">
        <v>92</v>
      </c>
      <c r="F78" s="3">
        <v>3.0</v>
      </c>
      <c r="G78" s="3">
        <f t="shared" si="1"/>
        <v>4.9945</v>
      </c>
      <c r="H78" s="3">
        <f t="shared" si="2"/>
        <v>1.664833333</v>
      </c>
      <c r="I78" s="3">
        <f t="shared" si="3"/>
        <v>4.9945</v>
      </c>
      <c r="J78" s="7">
        <f t="shared" si="4"/>
        <v>4518000.172</v>
      </c>
      <c r="K78" s="3" t="str">
        <f t="shared" si="16"/>
        <v>MIS</v>
      </c>
      <c r="L78" s="7">
        <f t="shared" si="6"/>
        <v>2795.392691</v>
      </c>
      <c r="M78" s="6">
        <f t="shared" si="7"/>
        <v>0.2629159556</v>
      </c>
      <c r="N78" s="14">
        <f t="shared" si="8"/>
        <v>3.751810687</v>
      </c>
      <c r="P78" s="3" t="s">
        <v>90</v>
      </c>
      <c r="Q78" s="3" t="str">
        <f t="shared" si="9"/>
        <v>unknown</v>
      </c>
      <c r="S78" s="8" t="str">
        <f t="shared" si="10"/>
        <v/>
      </c>
      <c r="V78" s="3" t="str">
        <f t="shared" si="17"/>
        <v/>
      </c>
    </row>
    <row r="79" ht="12.75" customHeight="1">
      <c r="A79" s="3" t="s">
        <v>81</v>
      </c>
      <c r="B79" s="3" t="s">
        <v>218</v>
      </c>
      <c r="C79" s="3">
        <v>132.0</v>
      </c>
      <c r="D79" s="3">
        <v>50.0</v>
      </c>
      <c r="E79" s="3" t="s">
        <v>219</v>
      </c>
      <c r="F79" s="3">
        <v>11.0</v>
      </c>
      <c r="G79" s="3">
        <f t="shared" si="1"/>
        <v>66</v>
      </c>
      <c r="H79" s="3">
        <f t="shared" si="2"/>
        <v>6</v>
      </c>
      <c r="I79" s="3">
        <f t="shared" si="3"/>
        <v>66</v>
      </c>
      <c r="J79" s="7">
        <f t="shared" si="4"/>
        <v>59703275.87</v>
      </c>
      <c r="K79" s="3" t="str">
        <f t="shared" si="16"/>
        <v>Military</v>
      </c>
      <c r="L79" s="7">
        <f t="shared" si="6"/>
        <v>10140.24629</v>
      </c>
      <c r="M79" s="6">
        <f t="shared" si="7"/>
        <v>0.2430586471</v>
      </c>
      <c r="N79" s="14">
        <f t="shared" si="8"/>
        <v>32.08374141</v>
      </c>
      <c r="P79" s="3" t="s">
        <v>43</v>
      </c>
      <c r="Q79" s="3" t="str">
        <f t="shared" si="9"/>
        <v>completed</v>
      </c>
      <c r="S79" s="8" t="str">
        <f t="shared" si="10"/>
        <v/>
      </c>
      <c r="V79" s="3" t="str">
        <f t="shared" si="17"/>
        <v/>
      </c>
      <c r="X79" s="16" t="s">
        <v>220</v>
      </c>
    </row>
    <row r="80" ht="12.75" customHeight="1">
      <c r="A80" s="3" t="s">
        <v>81</v>
      </c>
      <c r="B80" s="3" t="s">
        <v>221</v>
      </c>
      <c r="C80" s="3">
        <v>75.0</v>
      </c>
      <c r="D80" s="3">
        <v>70.0</v>
      </c>
      <c r="E80" s="3" t="s">
        <v>222</v>
      </c>
      <c r="F80" s="3">
        <v>6.0</v>
      </c>
      <c r="G80" s="3">
        <f t="shared" si="1"/>
        <v>52.5</v>
      </c>
      <c r="H80" s="3">
        <f t="shared" si="2"/>
        <v>8.75</v>
      </c>
      <c r="I80" s="3">
        <f t="shared" si="3"/>
        <v>52.5</v>
      </c>
      <c r="J80" s="7">
        <f t="shared" si="4"/>
        <v>47491242.17</v>
      </c>
      <c r="K80" s="3" t="str">
        <f t="shared" si="16"/>
        <v>Military</v>
      </c>
      <c r="L80" s="7">
        <f t="shared" si="6"/>
        <v>8678.135055</v>
      </c>
      <c r="M80" s="6">
        <f t="shared" si="7"/>
        <v>0.2340510671</v>
      </c>
      <c r="N80" s="14">
        <f t="shared" si="8"/>
        <v>17.55383003</v>
      </c>
      <c r="P80" s="3" t="s">
        <v>60</v>
      </c>
      <c r="Q80" s="3" t="str">
        <f t="shared" si="9"/>
        <v>suspended</v>
      </c>
      <c r="S80" s="8" t="str">
        <f t="shared" si="10"/>
        <v/>
      </c>
      <c r="V80" s="3" t="str">
        <f t="shared" si="17"/>
        <v/>
      </c>
      <c r="X80" s="16" t="s">
        <v>223</v>
      </c>
    </row>
    <row r="81" ht="12.75" customHeight="1">
      <c r="A81" s="3" t="s">
        <v>81</v>
      </c>
      <c r="B81" s="3" t="s">
        <v>224</v>
      </c>
      <c r="C81" s="3">
        <v>37.5</v>
      </c>
      <c r="D81" s="3">
        <v>70.0</v>
      </c>
      <c r="E81" s="3" t="s">
        <v>225</v>
      </c>
      <c r="F81" s="3">
        <v>4.0</v>
      </c>
      <c r="G81" s="3">
        <f t="shared" si="1"/>
        <v>26.25</v>
      </c>
      <c r="H81" s="3">
        <f t="shared" si="2"/>
        <v>6.5625</v>
      </c>
      <c r="I81" s="3">
        <f t="shared" si="3"/>
        <v>26.25</v>
      </c>
      <c r="J81" s="7">
        <f t="shared" si="4"/>
        <v>23745621.08</v>
      </c>
      <c r="K81" s="3" t="str">
        <f t="shared" si="16"/>
        <v>Military</v>
      </c>
      <c r="L81" s="7">
        <f t="shared" si="6"/>
        <v>5415.058931</v>
      </c>
      <c r="M81" s="6">
        <f t="shared" si="7"/>
        <v>0.2063308158</v>
      </c>
      <c r="N81" s="14">
        <f t="shared" si="8"/>
        <v>7.737405593</v>
      </c>
      <c r="P81" s="3" t="s">
        <v>90</v>
      </c>
      <c r="Q81" s="3" t="str">
        <f t="shared" si="9"/>
        <v>unknown</v>
      </c>
      <c r="S81" s="8" t="str">
        <f t="shared" si="10"/>
        <v/>
      </c>
      <c r="V81" s="3" t="str">
        <f t="shared" si="17"/>
        <v/>
      </c>
    </row>
    <row r="82" ht="12.75" customHeight="1">
      <c r="A82" s="3" t="s">
        <v>81</v>
      </c>
      <c r="B82" s="3" t="s">
        <v>226</v>
      </c>
      <c r="C82" s="3">
        <v>20.9</v>
      </c>
      <c r="D82" s="3">
        <v>100.0</v>
      </c>
      <c r="E82" s="3" t="s">
        <v>227</v>
      </c>
      <c r="F82" s="3">
        <v>4.0</v>
      </c>
      <c r="G82" s="3">
        <f t="shared" si="1"/>
        <v>20.9</v>
      </c>
      <c r="H82" s="3">
        <f t="shared" si="2"/>
        <v>5.225</v>
      </c>
      <c r="I82" s="3">
        <f t="shared" si="3"/>
        <v>20.9</v>
      </c>
      <c r="J82" s="7">
        <f t="shared" si="4"/>
        <v>18906037.36</v>
      </c>
      <c r="K82" s="3" t="str">
        <f t="shared" si="16"/>
        <v>Military</v>
      </c>
      <c r="L82" s="7">
        <f t="shared" si="6"/>
        <v>4637.184201</v>
      </c>
      <c r="M82" s="6">
        <f t="shared" si="7"/>
        <v>0.1972430521</v>
      </c>
      <c r="N82" s="14">
        <f t="shared" si="8"/>
        <v>4.122379788</v>
      </c>
      <c r="P82" s="3" t="s">
        <v>143</v>
      </c>
      <c r="Q82" s="3" t="str">
        <f t="shared" si="9"/>
        <v>completed</v>
      </c>
      <c r="S82" s="8" t="str">
        <f t="shared" si="10"/>
        <v/>
      </c>
      <c r="V82" s="3" t="str">
        <f t="shared" si="17"/>
        <v/>
      </c>
      <c r="X82" s="3" t="s">
        <v>61</v>
      </c>
    </row>
    <row r="83" ht="12.75" customHeight="1">
      <c r="C83" s="3">
        <f>SUM(C10:C82)</f>
        <v>5841.17</v>
      </c>
      <c r="G83" s="14">
        <f t="shared" ref="G83:H83" si="18">SUM(G10:G82)</f>
        <v>4175.0275</v>
      </c>
      <c r="H83" s="3">
        <f t="shared" si="18"/>
        <v>839.2465564</v>
      </c>
      <c r="J83" s="18"/>
      <c r="N83" s="14">
        <f>SUM(N10:N82)</f>
        <v>2362.495045</v>
      </c>
      <c r="R83" s="3">
        <f>COUNTA(R10:R82)</f>
        <v>18</v>
      </c>
      <c r="S83" s="3">
        <f t="shared" ref="S83:V83" si="19">COUNT(S10:S82)</f>
        <v>18</v>
      </c>
      <c r="T83" s="3">
        <f t="shared" si="19"/>
        <v>18</v>
      </c>
      <c r="U83" s="3">
        <f t="shared" si="19"/>
        <v>19</v>
      </c>
      <c r="V83" s="3">
        <f t="shared" si="19"/>
        <v>19</v>
      </c>
      <c r="W83" s="3">
        <f>COUNTA(W10:W82)</f>
        <v>16</v>
      </c>
    </row>
    <row r="84" ht="12.75" customHeight="1">
      <c r="A84" s="3" t="s">
        <v>228</v>
      </c>
    </row>
    <row r="85" ht="12.75" customHeight="1">
      <c r="A85" s="3" t="s">
        <v>229</v>
      </c>
      <c r="V85" s="3" t="s">
        <v>230</v>
      </c>
      <c r="W85" s="3">
        <v>18.0</v>
      </c>
    </row>
    <row r="86" ht="12.75" customHeight="1">
      <c r="V86" s="3" t="s">
        <v>231</v>
      </c>
      <c r="W86" s="3">
        <v>1827.8</v>
      </c>
    </row>
    <row r="87" ht="12.75" customHeight="1">
      <c r="B87" s="8" t="s">
        <v>232</v>
      </c>
      <c r="V87" s="3" t="s">
        <v>233</v>
      </c>
      <c r="W87" s="3">
        <v>1615.64</v>
      </c>
    </row>
    <row r="88" ht="12.75" customHeight="1">
      <c r="B88" s="3" t="s">
        <v>234</v>
      </c>
      <c r="P88" s="3" t="s">
        <v>43</v>
      </c>
      <c r="Q88" s="3">
        <v>16.0</v>
      </c>
    </row>
    <row r="89" ht="12.75" customHeight="1">
      <c r="P89" s="3" t="s">
        <v>71</v>
      </c>
      <c r="Q89" s="3">
        <v>1.0</v>
      </c>
    </row>
    <row r="90" ht="12.75" customHeight="1">
      <c r="P90" s="3" t="s">
        <v>235</v>
      </c>
      <c r="Q90" s="3">
        <v>1.0</v>
      </c>
    </row>
    <row r="91" ht="12.75" customHeight="1">
      <c r="H91" s="8" t="s">
        <v>236</v>
      </c>
    </row>
    <row r="92" ht="12.75" customHeight="1"/>
    <row r="93" ht="12.75" customHeight="1"/>
    <row r="94" ht="12.75" customHeight="1">
      <c r="B94" s="3" t="s">
        <v>237</v>
      </c>
      <c r="C94" s="3" t="s">
        <v>32</v>
      </c>
      <c r="D94" s="3"/>
      <c r="E94" s="3"/>
      <c r="F94" s="3"/>
    </row>
    <row r="95" ht="12.75" customHeight="1">
      <c r="B95" s="3" t="s">
        <v>238</v>
      </c>
      <c r="C95" s="3" t="s">
        <v>71</v>
      </c>
      <c r="D95" s="3" t="s">
        <v>143</v>
      </c>
      <c r="E95" s="3" t="s">
        <v>60</v>
      </c>
      <c r="F95" s="3" t="s">
        <v>90</v>
      </c>
    </row>
    <row r="96" ht="12.75" customHeight="1">
      <c r="B96" s="3" t="s">
        <v>239</v>
      </c>
      <c r="C96" s="3">
        <v>4.0</v>
      </c>
      <c r="D96" s="3">
        <v>3.0</v>
      </c>
      <c r="E96" s="3"/>
      <c r="F96" s="3">
        <v>2.0</v>
      </c>
    </row>
    <row r="97" ht="12.75" customHeight="1">
      <c r="B97" s="3" t="s">
        <v>240</v>
      </c>
      <c r="C97" s="3">
        <v>10.0</v>
      </c>
      <c r="D97" s="3">
        <v>9.0</v>
      </c>
      <c r="E97" s="3"/>
      <c r="F97" s="3">
        <v>5.0</v>
      </c>
    </row>
    <row r="98" ht="12.75" customHeight="1">
      <c r="B98" s="3" t="s">
        <v>241</v>
      </c>
      <c r="C98" s="3">
        <v>3.0</v>
      </c>
      <c r="D98" s="3">
        <v>6.0</v>
      </c>
      <c r="E98" s="3"/>
      <c r="F98" s="3">
        <v>2.0</v>
      </c>
    </row>
    <row r="99" ht="12.75" customHeight="1">
      <c r="B99" s="3" t="s">
        <v>242</v>
      </c>
      <c r="C99" s="3"/>
      <c r="D99" s="3">
        <v>4.0</v>
      </c>
      <c r="E99" s="3">
        <v>1.0</v>
      </c>
      <c r="F99" s="3">
        <v>1.0</v>
      </c>
    </row>
    <row r="100" ht="12.75" customHeight="1">
      <c r="B100" s="3" t="s">
        <v>243</v>
      </c>
      <c r="C100" s="3">
        <v>1.0</v>
      </c>
      <c r="D100" s="3">
        <v>3.0</v>
      </c>
      <c r="E100" s="3"/>
      <c r="F100" s="3">
        <v>2.0</v>
      </c>
    </row>
    <row r="101" ht="12.75" customHeight="1">
      <c r="B101" s="3" t="s">
        <v>244</v>
      </c>
      <c r="C101" s="3">
        <v>1.0</v>
      </c>
      <c r="D101" s="3">
        <v>1.0</v>
      </c>
      <c r="E101" s="3"/>
      <c r="F101" s="3"/>
    </row>
    <row r="102" ht="12.75" customHeight="1">
      <c r="B102" s="3" t="s">
        <v>245</v>
      </c>
      <c r="C102" s="3">
        <v>1.0</v>
      </c>
      <c r="D102" s="3">
        <v>2.0</v>
      </c>
      <c r="E102" s="3"/>
      <c r="F102" s="3"/>
      <c r="P102" s="21"/>
    </row>
    <row r="103" ht="12.75" customHeight="1">
      <c r="B103" s="3" t="s">
        <v>246</v>
      </c>
      <c r="C103" s="3">
        <v>1.0</v>
      </c>
      <c r="D103" s="3">
        <v>2.0</v>
      </c>
      <c r="E103" s="3"/>
      <c r="F103" s="3"/>
    </row>
    <row r="104" ht="12.75" customHeight="1">
      <c r="B104" s="3" t="s">
        <v>247</v>
      </c>
      <c r="C104" s="3"/>
      <c r="D104" s="3">
        <v>2.0</v>
      </c>
      <c r="E104" s="3"/>
      <c r="F104" s="3"/>
    </row>
    <row r="105" ht="12.75" customHeight="1">
      <c r="B105" s="3" t="s">
        <v>248</v>
      </c>
      <c r="C105" s="3"/>
      <c r="D105" s="3"/>
      <c r="E105" s="3">
        <v>1.0</v>
      </c>
      <c r="F105" s="3">
        <v>1.0</v>
      </c>
    </row>
    <row r="106" ht="12.75" customHeight="1">
      <c r="B106" s="3" t="s">
        <v>249</v>
      </c>
      <c r="C106" s="3"/>
      <c r="D106" s="3">
        <v>5.0</v>
      </c>
      <c r="E106" s="3"/>
      <c r="F106" s="3"/>
    </row>
    <row r="107" ht="12.75" customHeight="1">
      <c r="B107" s="8" t="s">
        <v>250</v>
      </c>
      <c r="C107" s="3">
        <f>SUM(C96:C106)</f>
        <v>21</v>
      </c>
      <c r="D107" s="3">
        <f>SUM(D95:D106)</f>
        <v>37</v>
      </c>
      <c r="E107" s="3">
        <f t="shared" ref="E107:F107" si="20">SUM(E96:E106)</f>
        <v>2</v>
      </c>
      <c r="F107" s="3">
        <f t="shared" si="20"/>
        <v>13</v>
      </c>
    </row>
    <row r="108" ht="12.75" customHeight="1"/>
    <row r="109" ht="12.75" customHeight="1"/>
    <row r="110" ht="12.75" customHeight="1">
      <c r="B110" s="22" t="s">
        <v>251</v>
      </c>
    </row>
    <row r="111" ht="12.75" customHeight="1"/>
    <row r="112" ht="12.75" customHeight="1">
      <c r="B112" s="8" t="s">
        <v>252</v>
      </c>
      <c r="C112" s="8" t="s">
        <v>253</v>
      </c>
    </row>
    <row r="113" ht="12.75" customHeight="1">
      <c r="B113" s="23">
        <f>N172</f>
        <v>834.4792062</v>
      </c>
      <c r="C113" s="3">
        <f>U196</f>
        <v>131.8</v>
      </c>
    </row>
    <row r="114" ht="12.75" customHeight="1">
      <c r="B114" s="8" t="s">
        <v>254</v>
      </c>
    </row>
    <row r="115" ht="12.75" customHeight="1">
      <c r="B115" s="3">
        <f>V171</f>
        <v>434.91</v>
      </c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>
      <c r="B123" s="8" t="s">
        <v>255</v>
      </c>
    </row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>
      <c r="H129" s="8" t="s">
        <v>256</v>
      </c>
    </row>
    <row r="130" ht="12.75" customHeight="1">
      <c r="H130" s="8" t="s">
        <v>257</v>
      </c>
    </row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>
      <c r="A147" s="8" t="s">
        <v>258</v>
      </c>
    </row>
    <row r="148" ht="12.75" customHeight="1">
      <c r="A148" s="3" t="str">
        <f t="shared" ref="A148:X148" si="21">A9</f>
        <v>Min</v>
      </c>
      <c r="B148" s="3" t="str">
        <f t="shared" si="21"/>
        <v>Description</v>
      </c>
      <c r="C148" s="3" t="str">
        <f t="shared" si="21"/>
        <v>Planned Cost (mln EUR)</v>
      </c>
      <c r="D148" s="3" t="str">
        <f t="shared" si="21"/>
        <v>% IT</v>
      </c>
      <c r="E148" s="3" t="str">
        <f t="shared" si="21"/>
        <v>time period</v>
      </c>
      <c r="F148" s="3" t="str">
        <f t="shared" si="21"/>
        <v>Planned Duration (year)</v>
      </c>
      <c r="G148" s="3" t="str">
        <f t="shared" si="21"/>
        <v>IT EUR(mln)</v>
      </c>
      <c r="H148" s="3" t="str">
        <f t="shared" si="21"/>
        <v>IT/year</v>
      </c>
      <c r="I148" s="3" t="str">
        <f t="shared" si="21"/>
        <v>software EUR(mln)</v>
      </c>
      <c r="J148" s="3" t="str">
        <f t="shared" si="21"/>
        <v>dollars 99</v>
      </c>
      <c r="K148" s="3" t="str">
        <f t="shared" si="21"/>
        <v>Benchmark</v>
      </c>
      <c r="L148" s="3" t="str">
        <f t="shared" si="21"/>
        <v>size (FP)</v>
      </c>
      <c r="M148" s="3" t="str">
        <f t="shared" si="21"/>
        <v>probability of failure</v>
      </c>
      <c r="N148" s="3" t="str">
        <f t="shared" si="21"/>
        <v>failure(mln EUR)</v>
      </c>
      <c r="O148" s="3" t="str">
        <f t="shared" si="21"/>
        <v/>
      </c>
      <c r="P148" s="3" t="str">
        <f t="shared" si="21"/>
        <v>Current status</v>
      </c>
      <c r="Q148" s="3" t="str">
        <f t="shared" si="21"/>
        <v>Combined status</v>
      </c>
      <c r="R148" s="3" t="str">
        <f t="shared" si="21"/>
        <v>Online date</v>
      </c>
      <c r="S148" s="3" t="str">
        <f t="shared" si="21"/>
        <v>Actual Duration (year)</v>
      </c>
      <c r="T148" s="3" t="str">
        <f t="shared" si="21"/>
        <v>Time Overrun (years)</v>
      </c>
      <c r="U148" s="3" t="str">
        <f t="shared" si="21"/>
        <v>Lastest cost</v>
      </c>
      <c r="V148" s="3" t="str">
        <f t="shared" si="21"/>
        <v>Cost Overrun (mln EUR)</v>
      </c>
      <c r="W148" s="3" t="str">
        <f t="shared" si="21"/>
        <v>Overrun(M&amp;T)</v>
      </c>
      <c r="X148" s="3" t="str">
        <f t="shared" si="21"/>
        <v>info link</v>
      </c>
      <c r="Z148" s="3" t="str">
        <f t="shared" ref="Z148:AA148" si="22">Z9</f>
        <v/>
      </c>
      <c r="AA148" s="3" t="str">
        <f t="shared" si="22"/>
        <v/>
      </c>
    </row>
    <row r="149" ht="12.75" customHeight="1">
      <c r="A149" s="3" t="str">
        <f>IFERROR(__xludf.DUMMYFUNCTION("SORT(FILTER(A10:AB82, LEN(S10:S82) &gt; 0), 3, TRUE)"),"SZW")</f>
        <v>SZW</v>
      </c>
      <c r="B149" s="3" t="str">
        <f>IFERROR(__xludf.DUMMYFUNCTION("""COMPUTED_VALUE"""),"Killen en Migreren (UWV)")</f>
        <v>Killen en Migreren (UWV)</v>
      </c>
      <c r="C149" s="3">
        <f>IFERROR(__xludf.DUMMYFUNCTION("""COMPUTED_VALUE"""),11.0)</f>
        <v>11</v>
      </c>
      <c r="D149" s="3">
        <f>IFERROR(__xludf.DUMMYFUNCTION("""COMPUTED_VALUE"""),100.0)</f>
        <v>100</v>
      </c>
      <c r="E149" s="3" t="str">
        <f>IFERROR(__xludf.DUMMYFUNCTION("""COMPUTED_VALUE"""),"2006-2009")</f>
        <v>2006-2009</v>
      </c>
      <c r="F149" s="3">
        <f>IFERROR(__xludf.DUMMYFUNCTION("""COMPUTED_VALUE"""),3.0)</f>
        <v>3</v>
      </c>
      <c r="G149" s="3">
        <f>IFERROR(__xludf.DUMMYFUNCTION("""COMPUTED_VALUE"""),11.0)</f>
        <v>11</v>
      </c>
      <c r="H149" s="3">
        <f>IFERROR(__xludf.DUMMYFUNCTION("""COMPUTED_VALUE"""),3.6666666666666665)</f>
        <v>3.666666667</v>
      </c>
      <c r="I149" s="3">
        <f>IFERROR(__xludf.DUMMYFUNCTION("""COMPUTED_VALUE"""),11.0)</f>
        <v>11</v>
      </c>
      <c r="J149" s="24">
        <f>IFERROR(__xludf.DUMMYFUNCTION("""COMPUTED_VALUE"""),9950545.978304762)</f>
        <v>9950545.978</v>
      </c>
      <c r="K149" s="3" t="str">
        <f>IFERROR(__xludf.DUMMYFUNCTION("""COMPUTED_VALUE"""),"MIS")</f>
        <v>MIS</v>
      </c>
      <c r="L149" s="24">
        <f>IFERROR(__xludf.DUMMYFUNCTION("""COMPUTED_VALUE"""),4811.341415097391)</f>
        <v>4811.341415</v>
      </c>
      <c r="M149" s="25">
        <f>IFERROR(__xludf.DUMMYFUNCTION("""COMPUTED_VALUE"""),0.31893318164993284)</f>
        <v>0.3189331816</v>
      </c>
      <c r="N149" s="23">
        <f>IFERROR(__xludf.DUMMYFUNCTION("""COMPUTED_VALUE"""),3.5082649981492606)</f>
        <v>3.508264998</v>
      </c>
      <c r="O149" s="3"/>
      <c r="P149" s="3" t="str">
        <f>IFERROR(__xludf.DUMMYFUNCTION("""COMPUTED_VALUE"""),"active")</f>
        <v>active</v>
      </c>
      <c r="Q149" s="3" t="str">
        <f>IFERROR(__xludf.DUMMYFUNCTION("""COMPUTED_VALUE"""),"completed")</f>
        <v>completed</v>
      </c>
      <c r="R149" s="3" t="str">
        <f>IFERROR(__xludf.DUMMYFUNCTION("""COMPUTED_VALUE"""),"31-12-2011")</f>
        <v>31-12-2011</v>
      </c>
      <c r="S149" s="3">
        <f>IFERROR(__xludf.DUMMYFUNCTION("""COMPUTED_VALUE"""),5.0)</f>
        <v>5</v>
      </c>
      <c r="T149" s="3">
        <f>IFERROR(__xludf.DUMMYFUNCTION("""COMPUTED_VALUE"""),2.0)</f>
        <v>2</v>
      </c>
      <c r="U149" s="3">
        <f>IFERROR(__xludf.DUMMYFUNCTION("""COMPUTED_VALUE"""),111.0)</f>
        <v>111</v>
      </c>
      <c r="V149" s="3">
        <f>IFERROR(__xludf.DUMMYFUNCTION("""COMPUTED_VALUE"""),100.0)</f>
        <v>100</v>
      </c>
      <c r="W149" s="3" t="str">
        <f>IFERROR(__xludf.DUMMYFUNCTION("""COMPUTED_VALUE"""),"M&amp;T")</f>
        <v>M&amp;T</v>
      </c>
      <c r="X149" s="26" t="str">
        <f>IFERROR(__xludf.DUMMYFUNCTION("""COMPUTED_VALUE"""),"https://rijksictdashboard.nl/ict-activiteiten/715d29e9-380c-430a-92b5-ef9848b7fde9")</f>
        <v>https://rijksictdashboard.nl/ict-activiteiten/715d29e9-380c-430a-92b5-ef9848b7fde9</v>
      </c>
      <c r="Y149" s="3"/>
      <c r="Z149" s="3"/>
      <c r="AA149" s="3"/>
      <c r="AB149" s="3"/>
    </row>
    <row r="150" ht="12.75" customHeight="1">
      <c r="A150" s="3" t="str">
        <f>IFERROR(__xludf.DUMMYFUNCTION("""COMPUTED_VALUE"""),"BZK")</f>
        <v>BZK</v>
      </c>
      <c r="B150" s="3" t="str">
        <f>IFERROR(__xludf.DUMMYFUNCTION("""COMPUTED_VALUE"""),"Nationaal Schengen Informatiesysteem (NSIS-II)(renamed to NL-SIS-II (Nederlands Schengen Informatiesysteem))")</f>
        <v>Nationaal Schengen Informatiesysteem (NSIS-II)(renamed to NL-SIS-II (Nederlands Schengen Informatiesysteem))</v>
      </c>
      <c r="C150" s="3">
        <f>IFERROR(__xludf.DUMMYFUNCTION("""COMPUTED_VALUE"""),17.5)</f>
        <v>17.5</v>
      </c>
      <c r="D150" s="3">
        <f>IFERROR(__xludf.DUMMYFUNCTION("""COMPUTED_VALUE"""),100.0)</f>
        <v>100</v>
      </c>
      <c r="E150" s="3" t="str">
        <f>IFERROR(__xludf.DUMMYFUNCTION("""COMPUTED_VALUE"""),"2005-2008")</f>
        <v>2005-2008</v>
      </c>
      <c r="F150" s="3">
        <f>IFERROR(__xludf.DUMMYFUNCTION("""COMPUTED_VALUE"""),3.0)</f>
        <v>3</v>
      </c>
      <c r="G150" s="3">
        <f>IFERROR(__xludf.DUMMYFUNCTION("""COMPUTED_VALUE"""),17.5)</f>
        <v>17.5</v>
      </c>
      <c r="H150" s="3">
        <f>IFERROR(__xludf.DUMMYFUNCTION("""COMPUTED_VALUE"""),5.833333333333333)</f>
        <v>5.833333333</v>
      </c>
      <c r="I150" s="3">
        <f>IFERROR(__xludf.DUMMYFUNCTION("""COMPUTED_VALUE"""),17.5)</f>
        <v>17.5</v>
      </c>
      <c r="J150" s="24">
        <f>IFERROR(__xludf.DUMMYFUNCTION("""COMPUTED_VALUE"""),1.583041405639394E7)</f>
        <v>15830414.06</v>
      </c>
      <c r="K150" s="3" t="str">
        <f>IFERROR(__xludf.DUMMYFUNCTION("""COMPUTED_VALUE"""),"MIS")</f>
        <v>MIS</v>
      </c>
      <c r="L150" s="24">
        <f>IFERROR(__xludf.DUMMYFUNCTION("""COMPUTED_VALUE"""),6621.309718403993)</f>
        <v>6621.309718</v>
      </c>
      <c r="M150" s="25">
        <f>IFERROR(__xludf.DUMMYFUNCTION("""COMPUTED_VALUE"""),0.3514721143741221)</f>
        <v>0.3514721144</v>
      </c>
      <c r="N150" s="23">
        <f>IFERROR(__xludf.DUMMYFUNCTION("""COMPUTED_VALUE"""),6.150762001547137)</f>
        <v>6.150762002</v>
      </c>
      <c r="O150" s="3"/>
      <c r="P150" s="3" t="str">
        <f>IFERROR(__xludf.DUMMYFUNCTION("""COMPUTED_VALUE"""),"active")</f>
        <v>active</v>
      </c>
      <c r="Q150" s="3" t="str">
        <f>IFERROR(__xludf.DUMMYFUNCTION("""COMPUTED_VALUE"""),"completed")</f>
        <v>completed</v>
      </c>
      <c r="R150" s="3" t="str">
        <f>IFERROR(__xludf.DUMMYFUNCTION("""COMPUTED_VALUE"""),"31-12-2013")</f>
        <v>31-12-2013</v>
      </c>
      <c r="S150" s="3">
        <f>IFERROR(__xludf.DUMMYFUNCTION("""COMPUTED_VALUE"""),8.0)</f>
        <v>8</v>
      </c>
      <c r="T150" s="3">
        <f>IFERROR(__xludf.DUMMYFUNCTION("""COMPUTED_VALUE"""),5.0)</f>
        <v>5</v>
      </c>
      <c r="U150" s="3">
        <f>IFERROR(__xludf.DUMMYFUNCTION("""COMPUTED_VALUE"""),22.8)</f>
        <v>22.8</v>
      </c>
      <c r="V150" s="3">
        <f>IFERROR(__xludf.DUMMYFUNCTION("""COMPUTED_VALUE"""),5.300000000000001)</f>
        <v>5.3</v>
      </c>
      <c r="W150" s="3" t="str">
        <f>IFERROR(__xludf.DUMMYFUNCTION("""COMPUTED_VALUE"""),"M&amp;T")</f>
        <v>M&amp;T</v>
      </c>
      <c r="X150" s="26" t="str">
        <f>IFERROR(__xludf.DUMMYFUNCTION("""COMPUTED_VALUE"""),"https://rijksictdashboard.nl/ict-activiteiten/1c2220dc-caea-45a3-8004-bfc173e3947f")</f>
        <v>https://rijksictdashboard.nl/ict-activiteiten/1c2220dc-caea-45a3-8004-bfc173e3947f</v>
      </c>
      <c r="Y150" s="3"/>
      <c r="Z150" s="3"/>
      <c r="AA150" s="3"/>
      <c r="AB150" s="3"/>
    </row>
    <row r="151" ht="12.75" customHeight="1">
      <c r="A151" s="3" t="str">
        <f>IFERROR(__xludf.DUMMYFUNCTION("""COMPUTED_VALUE"""),"VWS")</f>
        <v>VWS</v>
      </c>
      <c r="B151" s="3" t="str">
        <f>IFERROR(__xludf.DUMMYFUNCTION("""COMPUTED_VALUE"""),"Programma Stroomlijning indicatieprocessen in Zorg en Sociale Zekerheid(renamed to Programma Stroomlijning Indicatieprocessen (STIP))")</f>
        <v>Programma Stroomlijning indicatieprocessen in Zorg en Sociale Zekerheid(renamed to Programma Stroomlijning Indicatieprocessen (STIP))</v>
      </c>
      <c r="C151" s="3">
        <f>IFERROR(__xludf.DUMMYFUNCTION("""COMPUTED_VALUE"""),25.0)</f>
        <v>25</v>
      </c>
      <c r="D151" s="3">
        <f>IFERROR(__xludf.DUMMYFUNCTION("""COMPUTED_VALUE"""),80.0)</f>
        <v>80</v>
      </c>
      <c r="E151" s="3" t="str">
        <f>IFERROR(__xludf.DUMMYFUNCTION("""COMPUTED_VALUE"""),"2006-2011")</f>
        <v>2006-2011</v>
      </c>
      <c r="F151" s="3">
        <f>IFERROR(__xludf.DUMMYFUNCTION("""COMPUTED_VALUE"""),5.0)</f>
        <v>5</v>
      </c>
      <c r="G151" s="3">
        <f>IFERROR(__xludf.DUMMYFUNCTION("""COMPUTED_VALUE"""),20.0)</f>
        <v>20</v>
      </c>
      <c r="H151" s="3">
        <f>IFERROR(__xludf.DUMMYFUNCTION("""COMPUTED_VALUE"""),4.0)</f>
        <v>4</v>
      </c>
      <c r="I151" s="3">
        <f>IFERROR(__xludf.DUMMYFUNCTION("""COMPUTED_VALUE"""),20.0)</f>
        <v>20</v>
      </c>
      <c r="J151" s="24">
        <f>IFERROR(__xludf.DUMMYFUNCTION("""COMPUTED_VALUE"""),1.8091901778735932E7)</f>
        <v>18091901.78</v>
      </c>
      <c r="K151" s="3" t="str">
        <f>IFERROR(__xludf.DUMMYFUNCTION("""COMPUTED_VALUE"""),"MIS")</f>
        <v>MIS</v>
      </c>
      <c r="L151" s="24">
        <f>IFERROR(__xludf.DUMMYFUNCTION("""COMPUTED_VALUE"""),7258.163566126017)</f>
        <v>7258.163566</v>
      </c>
      <c r="M151" s="25">
        <f>IFERROR(__xludf.DUMMYFUNCTION("""COMPUTED_VALUE"""),0.3605416715669651)</f>
        <v>0.3605416716</v>
      </c>
      <c r="N151" s="23">
        <f>IFERROR(__xludf.DUMMYFUNCTION("""COMPUTED_VALUE"""),9.013541789174127)</f>
        <v>9.013541789</v>
      </c>
      <c r="O151" s="3"/>
      <c r="P151" s="3" t="str">
        <f>IFERROR(__xludf.DUMMYFUNCTION("""COMPUTED_VALUE"""),"completed")</f>
        <v>completed</v>
      </c>
      <c r="Q151" s="3" t="str">
        <f>IFERROR(__xludf.DUMMYFUNCTION("""COMPUTED_VALUE"""),"completed")</f>
        <v>completed</v>
      </c>
      <c r="R151" s="27">
        <f>IFERROR(__xludf.DUMMYFUNCTION("""COMPUTED_VALUE"""),39822.0)</f>
        <v>39822</v>
      </c>
      <c r="S151" s="3">
        <f>IFERROR(__xludf.DUMMYFUNCTION("""COMPUTED_VALUE"""),3.0)</f>
        <v>3</v>
      </c>
      <c r="T151" s="3">
        <f>IFERROR(__xludf.DUMMYFUNCTION("""COMPUTED_VALUE"""),-2.0)</f>
        <v>-2</v>
      </c>
      <c r="U151" s="3">
        <f>IFERROR(__xludf.DUMMYFUNCTION("""COMPUTED_VALUE"""),4.72)</f>
        <v>4.72</v>
      </c>
      <c r="V151" s="3">
        <f>IFERROR(__xludf.DUMMYFUNCTION("""COMPUTED_VALUE"""),-20.28)</f>
        <v>-20.28</v>
      </c>
      <c r="W151" s="3"/>
      <c r="X151" s="26" t="str">
        <f>IFERROR(__xludf.DUMMYFUNCTION("""COMPUTED_VALUE"""),"https://rijksictdashboard.nl/ict-activiteiten/baa114a3-4559-407f-ba15-c4a30c800442")</f>
        <v>https://rijksictdashboard.nl/ict-activiteiten/baa114a3-4559-407f-ba15-c4a30c800442</v>
      </c>
      <c r="Y151" s="3"/>
      <c r="Z151" s="3"/>
      <c r="AA151" s="3"/>
      <c r="AB151" s="3"/>
    </row>
    <row r="152" ht="12.75" customHeight="1">
      <c r="A152" s="3" t="str">
        <f>IFERROR(__xludf.DUMMYFUNCTION("""COMPUTED_VALUE"""),"JUS")</f>
        <v>JUS</v>
      </c>
      <c r="B152" s="3" t="str">
        <f>IFERROR(__xludf.DUMMYFUNCTION("""COMPUTED_VALUE"""),"Programma NoorderWint")</f>
        <v>Programma NoorderWint</v>
      </c>
      <c r="C152" s="3">
        <f>IFERROR(__xludf.DUMMYFUNCTION("""COMPUTED_VALUE"""),35.0)</f>
        <v>35</v>
      </c>
      <c r="D152" s="3">
        <f>IFERROR(__xludf.DUMMYFUNCTION("""COMPUTED_VALUE"""),95.0)</f>
        <v>95</v>
      </c>
      <c r="E152" s="3" t="str">
        <f>IFERROR(__xludf.DUMMYFUNCTION("""COMPUTED_VALUE"""),"2005-2010")</f>
        <v>2005-2010</v>
      </c>
      <c r="F152" s="3">
        <f>IFERROR(__xludf.DUMMYFUNCTION("""COMPUTED_VALUE"""),5.0)</f>
        <v>5</v>
      </c>
      <c r="G152" s="3">
        <f>IFERROR(__xludf.DUMMYFUNCTION("""COMPUTED_VALUE"""),33.25)</f>
        <v>33.25</v>
      </c>
      <c r="H152" s="3">
        <f>IFERROR(__xludf.DUMMYFUNCTION("""COMPUTED_VALUE"""),6.65)</f>
        <v>6.65</v>
      </c>
      <c r="I152" s="3">
        <f>IFERROR(__xludf.DUMMYFUNCTION("""COMPUTED_VALUE"""),33.25)</f>
        <v>33.25</v>
      </c>
      <c r="J152" s="24">
        <f>IFERROR(__xludf.DUMMYFUNCTION("""COMPUTED_VALUE"""),3.0077786707148485E7)</f>
        <v>30077786.71</v>
      </c>
      <c r="K152" s="3" t="str">
        <f>IFERROR(__xludf.DUMMYFUNCTION("""COMPUTED_VALUE"""),"MIS")</f>
        <v>MIS</v>
      </c>
      <c r="L152" s="24">
        <f>IFERROR(__xludf.DUMMYFUNCTION("""COMPUTED_VALUE"""),10295.592382906209)</f>
        <v>10295.59238</v>
      </c>
      <c r="M152" s="25">
        <f>IFERROR(__xludf.DUMMYFUNCTION("""COMPUTED_VALUE"""),0.3930785695841412)</f>
        <v>0.3930785696</v>
      </c>
      <c r="N152" s="23">
        <f>IFERROR(__xludf.DUMMYFUNCTION("""COMPUTED_VALUE"""),13.757749935444942)</f>
        <v>13.75774994</v>
      </c>
      <c r="O152" s="3"/>
      <c r="P152" s="3" t="str">
        <f>IFERROR(__xludf.DUMMYFUNCTION("""COMPUTED_VALUE"""),"active")</f>
        <v>active</v>
      </c>
      <c r="Q152" s="3" t="str">
        <f>IFERROR(__xludf.DUMMYFUNCTION("""COMPUTED_VALUE"""),"completed")</f>
        <v>completed</v>
      </c>
      <c r="R152" s="3" t="str">
        <f>IFERROR(__xludf.DUMMYFUNCTION("""COMPUTED_VALUE"""),"31-01-2011")</f>
        <v>31-01-2011</v>
      </c>
      <c r="S152" s="3">
        <f>IFERROR(__xludf.DUMMYFUNCTION("""COMPUTED_VALUE"""),6.0)</f>
        <v>6</v>
      </c>
      <c r="T152" s="3">
        <f>IFERROR(__xludf.DUMMYFUNCTION("""COMPUTED_VALUE"""),1.0)</f>
        <v>1</v>
      </c>
      <c r="U152" s="3">
        <f>IFERROR(__xludf.DUMMYFUNCTION("""COMPUTED_VALUE"""),55.0)</f>
        <v>55</v>
      </c>
      <c r="V152" s="3">
        <f>IFERROR(__xludf.DUMMYFUNCTION("""COMPUTED_VALUE"""),20.0)</f>
        <v>20</v>
      </c>
      <c r="W152" s="3" t="str">
        <f>IFERROR(__xludf.DUMMYFUNCTION("""COMPUTED_VALUE"""),"M&amp;T")</f>
        <v>M&amp;T</v>
      </c>
      <c r="X152" s="26" t="str">
        <f>IFERROR(__xludf.DUMMYFUNCTION("""COMPUTED_VALUE"""),"https://rijksictdashboard.nl/ict-activiteiten/6a20e4b6-c125-48c5-b5c7-3fa1f7356ea6")</f>
        <v>https://rijksictdashboard.nl/ict-activiteiten/6a20e4b6-c125-48c5-b5c7-3fa1f7356ea6</v>
      </c>
      <c r="Y152" s="3"/>
      <c r="Z152" s="3"/>
      <c r="AA152" s="3"/>
      <c r="AB152" s="3"/>
    </row>
    <row r="153" ht="12.75" customHeight="1">
      <c r="A153" s="3" t="str">
        <f>IFERROR(__xludf.DUMMYFUNCTION("""COMPUTED_VALUE"""),"DEF")</f>
        <v>DEF</v>
      </c>
      <c r="B153" s="3" t="str">
        <f>IFERROR(__xludf.DUMMYFUNCTION("""COMPUTED_VALUE"""),"Herinrichting Personele Functiegebied")</f>
        <v>Herinrichting Personele Functiegebied</v>
      </c>
      <c r="C153" s="3">
        <f>IFERROR(__xludf.DUMMYFUNCTION("""COMPUTED_VALUE"""),36.1)</f>
        <v>36.1</v>
      </c>
      <c r="D153" s="3">
        <f>IFERROR(__xludf.DUMMYFUNCTION("""COMPUTED_VALUE"""),22.0)</f>
        <v>22</v>
      </c>
      <c r="E153" s="3" t="str">
        <f>IFERROR(__xludf.DUMMYFUNCTION("""COMPUTED_VALUE"""),"2004-2009")</f>
        <v>2004-2009</v>
      </c>
      <c r="F153" s="3">
        <f>IFERROR(__xludf.DUMMYFUNCTION("""COMPUTED_VALUE"""),5.0)</f>
        <v>5</v>
      </c>
      <c r="G153" s="3">
        <f>IFERROR(__xludf.DUMMYFUNCTION("""COMPUTED_VALUE"""),7.942)</f>
        <v>7.942</v>
      </c>
      <c r="H153" s="3">
        <f>IFERROR(__xludf.DUMMYFUNCTION("""COMPUTED_VALUE"""),1.5884)</f>
        <v>1.5884</v>
      </c>
      <c r="I153" s="3">
        <f>IFERROR(__xludf.DUMMYFUNCTION("""COMPUTED_VALUE"""),7.942)</f>
        <v>7.942</v>
      </c>
      <c r="J153" s="24">
        <f>IFERROR(__xludf.DUMMYFUNCTION("""COMPUTED_VALUE"""),7184294.1963360375)</f>
        <v>7184294.196</v>
      </c>
      <c r="K153" s="3" t="str">
        <f>IFERROR(__xludf.DUMMYFUNCTION("""COMPUTED_VALUE"""),"MIS")</f>
        <v>MIS</v>
      </c>
      <c r="L153" s="24">
        <f>IFERROR(__xludf.DUMMYFUNCTION("""COMPUTED_VALUE"""),3845.721670132801)</f>
        <v>3845.72167</v>
      </c>
      <c r="M153" s="25">
        <f>IFERROR(__xludf.DUMMYFUNCTION("""COMPUTED_VALUE"""),0.29569318544400597)</f>
        <v>0.2956931854</v>
      </c>
      <c r="N153" s="23">
        <f>IFERROR(__xludf.DUMMYFUNCTION("""COMPUTED_VALUE"""),10.674523994528618)</f>
        <v>10.67452399</v>
      </c>
      <c r="O153" s="3"/>
      <c r="P153" s="3" t="str">
        <f>IFERROR(__xludf.DUMMYFUNCTION("""COMPUTED_VALUE"""),"active")</f>
        <v>active</v>
      </c>
      <c r="Q153" s="3" t="str">
        <f>IFERROR(__xludf.DUMMYFUNCTION("""COMPUTED_VALUE"""),"completed")</f>
        <v>completed</v>
      </c>
      <c r="R153" s="3" t="str">
        <f>IFERROR(__xludf.DUMMYFUNCTION("""COMPUTED_VALUE"""),"31-12-2011")</f>
        <v>31-12-2011</v>
      </c>
      <c r="S153" s="3">
        <f>IFERROR(__xludf.DUMMYFUNCTION("""COMPUTED_VALUE"""),7.0)</f>
        <v>7</v>
      </c>
      <c r="T153" s="3">
        <f>IFERROR(__xludf.DUMMYFUNCTION("""COMPUTED_VALUE"""),2.0)</f>
        <v>2</v>
      </c>
      <c r="U153" s="3">
        <f>IFERROR(__xludf.DUMMYFUNCTION("""COMPUTED_VALUE"""),37.9)</f>
        <v>37.9</v>
      </c>
      <c r="V153" s="3">
        <f>IFERROR(__xludf.DUMMYFUNCTION("""COMPUTED_VALUE"""),1.7999999999999972)</f>
        <v>1.8</v>
      </c>
      <c r="W153" s="3" t="str">
        <f>IFERROR(__xludf.DUMMYFUNCTION("""COMPUTED_VALUE"""),"M&amp;T")</f>
        <v>M&amp;T</v>
      </c>
      <c r="X153" s="26" t="str">
        <f>IFERROR(__xludf.DUMMYFUNCTION("""COMPUTED_VALUE"""),"https://rijksictdashboard.nl/ict-activiteiten/c109adb4-3a3a-4df4-ba0f-5849ccc8a43d")</f>
        <v>https://rijksictdashboard.nl/ict-activiteiten/c109adb4-3a3a-4df4-ba0f-5849ccc8a43d</v>
      </c>
      <c r="Y153" s="3"/>
      <c r="Z153" s="3"/>
      <c r="AA153" s="3"/>
      <c r="AB153" s="3"/>
    </row>
    <row r="154" ht="12.75" customHeight="1">
      <c r="A154" s="3" t="str">
        <f>IFERROR(__xludf.DUMMYFUNCTION("""COMPUTED_VALUE"""),"DEF")</f>
        <v>DEF</v>
      </c>
      <c r="B154" s="3" t="str">
        <f>IFERROR(__xludf.DUMMYFUNCTION("""COMPUTED_VALUE"""),"PALS")</f>
        <v>PALS</v>
      </c>
      <c r="C154" s="3">
        <f>IFERROR(__xludf.DUMMYFUNCTION("""COMPUTED_VALUE"""),36.6)</f>
        <v>36.6</v>
      </c>
      <c r="D154" s="3">
        <f>IFERROR(__xludf.DUMMYFUNCTION("""COMPUTED_VALUE"""),82.0)</f>
        <v>82</v>
      </c>
      <c r="E154" s="3" t="str">
        <f>IFERROR(__xludf.DUMMYFUNCTION("""COMPUTED_VALUE"""),"2006-2011")</f>
        <v>2006-2011</v>
      </c>
      <c r="F154" s="3">
        <f>IFERROR(__xludf.DUMMYFUNCTION("""COMPUTED_VALUE"""),5.0)</f>
        <v>5</v>
      </c>
      <c r="G154" s="3">
        <f>IFERROR(__xludf.DUMMYFUNCTION("""COMPUTED_VALUE"""),30.012000000000004)</f>
        <v>30.012</v>
      </c>
      <c r="H154" s="3">
        <f>IFERROR(__xludf.DUMMYFUNCTION("""COMPUTED_VALUE"""),6.002400000000001)</f>
        <v>6.0024</v>
      </c>
      <c r="I154" s="3">
        <f>IFERROR(__xludf.DUMMYFUNCTION("""COMPUTED_VALUE"""),30.012000000000004)</f>
        <v>30.012</v>
      </c>
      <c r="J154" s="24">
        <f>IFERROR(__xludf.DUMMYFUNCTION("""COMPUTED_VALUE"""),2.714870780917114E7)</f>
        <v>27148707.81</v>
      </c>
      <c r="K154" s="3" t="str">
        <f>IFERROR(__xludf.DUMMYFUNCTION("""COMPUTED_VALUE"""),"MIS")</f>
        <v>MIS</v>
      </c>
      <c r="L154" s="24">
        <f>IFERROR(__xludf.DUMMYFUNCTION("""COMPUTED_VALUE"""),9595.101664768728)</f>
        <v>9595.101665</v>
      </c>
      <c r="M154" s="25">
        <f>IFERROR(__xludf.DUMMYFUNCTION("""COMPUTED_VALUE"""),0.38682315115901117)</f>
        <v>0.3868231512</v>
      </c>
      <c r="N154" s="23">
        <f>IFERROR(__xludf.DUMMYFUNCTION("""COMPUTED_VALUE"""),14.157727332419809)</f>
        <v>14.15772733</v>
      </c>
      <c r="O154" s="3"/>
      <c r="P154" s="3" t="str">
        <f>IFERROR(__xludf.DUMMYFUNCTION("""COMPUTED_VALUE"""),"active")</f>
        <v>active</v>
      </c>
      <c r="Q154" s="3" t="str">
        <f>IFERROR(__xludf.DUMMYFUNCTION("""COMPUTED_VALUE"""),"completed")</f>
        <v>completed</v>
      </c>
      <c r="R154" s="3" t="str">
        <f>IFERROR(__xludf.DUMMYFUNCTION("""COMPUTED_VALUE"""),"31-12-2015")</f>
        <v>31-12-2015</v>
      </c>
      <c r="S154" s="3">
        <f>IFERROR(__xludf.DUMMYFUNCTION("""COMPUTED_VALUE"""),9.0)</f>
        <v>9</v>
      </c>
      <c r="T154" s="3">
        <f>IFERROR(__xludf.DUMMYFUNCTION("""COMPUTED_VALUE"""),4.0)</f>
        <v>4</v>
      </c>
      <c r="U154" s="3">
        <f>IFERROR(__xludf.DUMMYFUNCTION("""COMPUTED_VALUE"""),29.0)</f>
        <v>29</v>
      </c>
      <c r="V154" s="3">
        <f>IFERROR(__xludf.DUMMYFUNCTION("""COMPUTED_VALUE"""),-7.600000000000001)</f>
        <v>-7.6</v>
      </c>
      <c r="W154" s="3" t="str">
        <f>IFERROR(__xludf.DUMMYFUNCTION("""COMPUTED_VALUE"""),"T")</f>
        <v>T</v>
      </c>
      <c r="X154" s="26" t="str">
        <f>IFERROR(__xludf.DUMMYFUNCTION("""COMPUTED_VALUE"""),"https://rijksictdashboard.nl/ict-activiteiten/2e6d6fb1-50c7-47bc-8d56-d5e0fe5d95d1")</f>
        <v>https://rijksictdashboard.nl/ict-activiteiten/2e6d6fb1-50c7-47bc-8d56-d5e0fe5d95d1</v>
      </c>
      <c r="Y154" s="3"/>
      <c r="Z154" s="3"/>
      <c r="AA154" s="3"/>
      <c r="AB154" s="3"/>
    </row>
    <row r="155" ht="12.75" customHeight="1">
      <c r="A155" s="3" t="str">
        <f>IFERROR(__xludf.DUMMYFUNCTION("""COMPUTED_VALUE"""),"FIN")</f>
        <v>FIN</v>
      </c>
      <c r="B155" s="3" t="str">
        <f>IFERROR(__xludf.DUMMYFUNCTION("""COMPUTED_VALUE"""),"Vooringevulde aangifte (VIA)")</f>
        <v>Vooringevulde aangifte (VIA)</v>
      </c>
      <c r="C155" s="3">
        <f>IFERROR(__xludf.DUMMYFUNCTION("""COMPUTED_VALUE"""),45.0)</f>
        <v>45</v>
      </c>
      <c r="D155" s="3">
        <f>IFERROR(__xludf.DUMMYFUNCTION("""COMPUTED_VALUE"""),55.0)</f>
        <v>55</v>
      </c>
      <c r="E155" s="3" t="str">
        <f>IFERROR(__xludf.DUMMYFUNCTION("""COMPUTED_VALUE"""),"2006-2008")</f>
        <v>2006-2008</v>
      </c>
      <c r="F155" s="3">
        <f>IFERROR(__xludf.DUMMYFUNCTION("""COMPUTED_VALUE"""),2.0)</f>
        <v>2</v>
      </c>
      <c r="G155" s="3">
        <f>IFERROR(__xludf.DUMMYFUNCTION("""COMPUTED_VALUE"""),24.75)</f>
        <v>24.75</v>
      </c>
      <c r="H155" s="3">
        <f>IFERROR(__xludf.DUMMYFUNCTION("""COMPUTED_VALUE"""),12.375)</f>
        <v>12.375</v>
      </c>
      <c r="I155" s="3">
        <f>IFERROR(__xludf.DUMMYFUNCTION("""COMPUTED_VALUE"""),24.75)</f>
        <v>24.75</v>
      </c>
      <c r="J155" s="24">
        <f>IFERROR(__xludf.DUMMYFUNCTION("""COMPUTED_VALUE"""),2.2388728451185714E7)</f>
        <v>22388728.45</v>
      </c>
      <c r="K155" s="3" t="str">
        <f>IFERROR(__xludf.DUMMYFUNCTION("""COMPUTED_VALUE"""),"MIS")</f>
        <v>MIS</v>
      </c>
      <c r="L155" s="24">
        <f>IFERROR(__xludf.DUMMYFUNCTION("""COMPUTED_VALUE"""),8403.7464473733)</f>
        <v>8403.746447</v>
      </c>
      <c r="M155" s="25">
        <f>IFERROR(__xludf.DUMMYFUNCTION("""COMPUTED_VALUE"""),0.3746132547458432)</f>
        <v>0.3746132547</v>
      </c>
      <c r="N155" s="23">
        <f>IFERROR(__xludf.DUMMYFUNCTION("""COMPUTED_VALUE"""),16.857596463562945)</f>
        <v>16.85759646</v>
      </c>
      <c r="O155" s="3"/>
      <c r="P155" s="3" t="str">
        <f>IFERROR(__xludf.DUMMYFUNCTION("""COMPUTED_VALUE"""),"active")</f>
        <v>active</v>
      </c>
      <c r="Q155" s="3" t="str">
        <f>IFERROR(__xludf.DUMMYFUNCTION("""COMPUTED_VALUE"""),"completed")</f>
        <v>completed</v>
      </c>
      <c r="R155" s="27">
        <f>IFERROR(__xludf.DUMMYFUNCTION("""COMPUTED_VALUE"""),41030.0)</f>
        <v>41030</v>
      </c>
      <c r="S155" s="3">
        <f>IFERROR(__xludf.DUMMYFUNCTION("""COMPUTED_VALUE"""),6.0)</f>
        <v>6</v>
      </c>
      <c r="T155" s="3">
        <f>IFERROR(__xludf.DUMMYFUNCTION("""COMPUTED_VALUE"""),4.0)</f>
        <v>4</v>
      </c>
      <c r="U155" s="3">
        <f>IFERROR(__xludf.DUMMYFUNCTION("""COMPUTED_VALUE"""),53.26)</f>
        <v>53.26</v>
      </c>
      <c r="V155" s="3">
        <f>IFERROR(__xludf.DUMMYFUNCTION("""COMPUTED_VALUE"""),8.259999999999998)</f>
        <v>8.26</v>
      </c>
      <c r="W155" s="3" t="str">
        <f>IFERROR(__xludf.DUMMYFUNCTION("""COMPUTED_VALUE"""),"M&amp;T")</f>
        <v>M&amp;T</v>
      </c>
      <c r="X155" s="26" t="str">
        <f>IFERROR(__xludf.DUMMYFUNCTION("""COMPUTED_VALUE"""),"https://rijksictdashboard.nl/ict-activiteiten/f5a8b162-363e-480a-8d0f-e21c0eedae65")</f>
        <v>https://rijksictdashboard.nl/ict-activiteiten/f5a8b162-363e-480a-8d0f-e21c0eedae65</v>
      </c>
      <c r="Y155" s="3"/>
      <c r="Z155" s="3"/>
      <c r="AA155" s="3"/>
      <c r="AB155" s="3"/>
    </row>
    <row r="156" ht="12.75" customHeight="1">
      <c r="A156" s="3" t="str">
        <f>IFERROR(__xludf.DUMMYFUNCTION("""COMPUTED_VALUE"""),"FIN")</f>
        <v>FIN</v>
      </c>
      <c r="B156" s="3" t="str">
        <f>IFERROR(__xludf.DUMMYFUNCTION("""COMPUTED_VALUE"""),"Basisregistraties")</f>
        <v>Basisregistraties</v>
      </c>
      <c r="C156" s="3">
        <f>IFERROR(__xludf.DUMMYFUNCTION("""COMPUTED_VALUE"""),46.0)</f>
        <v>46</v>
      </c>
      <c r="D156" s="3">
        <f>IFERROR(__xludf.DUMMYFUNCTION("""COMPUTED_VALUE"""),93.0)</f>
        <v>93</v>
      </c>
      <c r="E156" s="3" t="str">
        <f>IFERROR(__xludf.DUMMYFUNCTION("""COMPUTED_VALUE"""),"2007-2010")</f>
        <v>2007-2010</v>
      </c>
      <c r="F156" s="3">
        <f>IFERROR(__xludf.DUMMYFUNCTION("""COMPUTED_VALUE"""),3.0)</f>
        <v>3</v>
      </c>
      <c r="G156" s="3">
        <f>IFERROR(__xludf.DUMMYFUNCTION("""COMPUTED_VALUE"""),42.78)</f>
        <v>42.78</v>
      </c>
      <c r="H156" s="3">
        <f>IFERROR(__xludf.DUMMYFUNCTION("""COMPUTED_VALUE"""),14.26)</f>
        <v>14.26</v>
      </c>
      <c r="I156" s="3">
        <f>IFERROR(__xludf.DUMMYFUNCTION("""COMPUTED_VALUE"""),42.78)</f>
        <v>42.78</v>
      </c>
      <c r="J156" s="24">
        <f>IFERROR(__xludf.DUMMYFUNCTION("""COMPUTED_VALUE"""),3.869857790471616E7)</f>
        <v>38698577.9</v>
      </c>
      <c r="K156" s="3" t="str">
        <f>IFERROR(__xludf.DUMMYFUNCTION("""COMPUTED_VALUE"""),"MIS")</f>
        <v>MIS</v>
      </c>
      <c r="L156" s="24">
        <f>IFERROR(__xludf.DUMMYFUNCTION("""COMPUTED_VALUE"""),12243.987514004502)</f>
        <v>12243.98751</v>
      </c>
      <c r="M156" s="25">
        <f>IFERROR(__xludf.DUMMYFUNCTION("""COMPUTED_VALUE"""),0.4076756158084571)</f>
        <v>0.4076756158</v>
      </c>
      <c r="N156" s="23">
        <f>IFERROR(__xludf.DUMMYFUNCTION("""COMPUTED_VALUE"""),18.753078327189026)</f>
        <v>18.75307833</v>
      </c>
      <c r="O156" s="3"/>
      <c r="P156" s="3" t="str">
        <f>IFERROR(__xludf.DUMMYFUNCTION("""COMPUTED_VALUE"""),"active")</f>
        <v>active</v>
      </c>
      <c r="Q156" s="3" t="str">
        <f>IFERROR(__xludf.DUMMYFUNCTION("""COMPUTED_VALUE"""),"completed")</f>
        <v>completed</v>
      </c>
      <c r="R156" s="3" t="str">
        <f>IFERROR(__xludf.DUMMYFUNCTION("""COMPUTED_VALUE"""),"31-12-2015")</f>
        <v>31-12-2015</v>
      </c>
      <c r="S156" s="3">
        <f>IFERROR(__xludf.DUMMYFUNCTION("""COMPUTED_VALUE"""),8.0)</f>
        <v>8</v>
      </c>
      <c r="T156" s="3">
        <f>IFERROR(__xludf.DUMMYFUNCTION("""COMPUTED_VALUE"""),5.0)</f>
        <v>5</v>
      </c>
      <c r="U156" s="3">
        <f>IFERROR(__xludf.DUMMYFUNCTION("""COMPUTED_VALUE"""),42.7)</f>
        <v>42.7</v>
      </c>
      <c r="V156" s="3">
        <f>IFERROR(__xludf.DUMMYFUNCTION("""COMPUTED_VALUE"""),-3.299999999999997)</f>
        <v>-3.3</v>
      </c>
      <c r="W156" s="3" t="str">
        <f>IFERROR(__xludf.DUMMYFUNCTION("""COMPUTED_VALUE"""),"T")</f>
        <v>T</v>
      </c>
      <c r="X156" s="26" t="str">
        <f>IFERROR(__xludf.DUMMYFUNCTION("""COMPUTED_VALUE"""),"https://rijksictdashboard.nl/ict-activiteiten/2de4f98a-9342-40b8-b5c4-c76d6269cc92")</f>
        <v>https://rijksictdashboard.nl/ict-activiteiten/2de4f98a-9342-40b8-b5c4-c76d6269cc92</v>
      </c>
      <c r="Y156" s="3"/>
      <c r="Z156" s="3"/>
      <c r="AA156" s="3"/>
      <c r="AB156" s="3"/>
    </row>
    <row r="157" ht="12.75" customHeight="1">
      <c r="A157" s="3" t="str">
        <f>IFERROR(__xludf.DUMMYFUNCTION("""COMPUTED_VALUE"""),"FIN")</f>
        <v>FIN</v>
      </c>
      <c r="B157" s="3" t="str">
        <f>IFERROR(__xludf.DUMMYFUNCTION("""COMPUTED_VALUE"""),"eCustoms")</f>
        <v>eCustoms</v>
      </c>
      <c r="C157" s="3">
        <f>IFERROR(__xludf.DUMMYFUNCTION("""COMPUTED_VALUE"""),47.6)</f>
        <v>47.6</v>
      </c>
      <c r="D157" s="3">
        <f>IFERROR(__xludf.DUMMYFUNCTION("""COMPUTED_VALUE"""),55.0)</f>
        <v>55</v>
      </c>
      <c r="E157" s="3" t="str">
        <f>IFERROR(__xludf.DUMMYFUNCTION("""COMPUTED_VALUE"""),"2005-2012")</f>
        <v>2005-2012</v>
      </c>
      <c r="F157" s="3">
        <f>IFERROR(__xludf.DUMMYFUNCTION("""COMPUTED_VALUE"""),7.0)</f>
        <v>7</v>
      </c>
      <c r="G157" s="3">
        <f>IFERROR(__xludf.DUMMYFUNCTION("""COMPUTED_VALUE"""),26.18)</f>
        <v>26.18</v>
      </c>
      <c r="H157" s="3">
        <f>IFERROR(__xludf.DUMMYFUNCTION("""COMPUTED_VALUE"""),3.7399999999999998)</f>
        <v>3.74</v>
      </c>
      <c r="I157" s="3">
        <f>IFERROR(__xludf.DUMMYFUNCTION("""COMPUTED_VALUE"""),26.18)</f>
        <v>26.18</v>
      </c>
      <c r="J157" s="24">
        <f>IFERROR(__xludf.DUMMYFUNCTION("""COMPUTED_VALUE"""),2.368229942836533E7)</f>
        <v>23682299.43</v>
      </c>
      <c r="K157" s="3" t="str">
        <f>IFERROR(__xludf.DUMMYFUNCTION("""COMPUTED_VALUE"""),"MIS")</f>
        <v>MIS</v>
      </c>
      <c r="L157" s="24">
        <f>IFERROR(__xludf.DUMMYFUNCTION("""COMPUTED_VALUE"""),8734.735282885194)</f>
        <v>8734.735283</v>
      </c>
      <c r="M157" s="25">
        <f>IFERROR(__xludf.DUMMYFUNCTION("""COMPUTED_VALUE"""),0.37822650228387544)</f>
        <v>0.3782265023</v>
      </c>
      <c r="N157" s="23">
        <f>IFERROR(__xludf.DUMMYFUNCTION("""COMPUTED_VALUE"""),18.00358150871247)</f>
        <v>18.00358151</v>
      </c>
      <c r="O157" s="3"/>
      <c r="P157" s="3" t="str">
        <f>IFERROR(__xludf.DUMMYFUNCTION("""COMPUTED_VALUE"""),"active")</f>
        <v>active</v>
      </c>
      <c r="Q157" s="3" t="str">
        <f>IFERROR(__xludf.DUMMYFUNCTION("""COMPUTED_VALUE"""),"completed")</f>
        <v>completed</v>
      </c>
      <c r="R157" s="3" t="str">
        <f>IFERROR(__xludf.DUMMYFUNCTION("""COMPUTED_VALUE"""),"31-12-2010")</f>
        <v>31-12-2010</v>
      </c>
      <c r="S157" s="3">
        <f>IFERROR(__xludf.DUMMYFUNCTION("""COMPUTED_VALUE"""),5.0)</f>
        <v>5</v>
      </c>
      <c r="T157" s="3">
        <f>IFERROR(__xludf.DUMMYFUNCTION("""COMPUTED_VALUE"""),-2.0)</f>
        <v>-2</v>
      </c>
      <c r="U157" s="3">
        <f>IFERROR(__xludf.DUMMYFUNCTION("""COMPUTED_VALUE"""),65.28)</f>
        <v>65.28</v>
      </c>
      <c r="V157" s="3">
        <f>IFERROR(__xludf.DUMMYFUNCTION("""COMPUTED_VALUE"""),17.68)</f>
        <v>17.68</v>
      </c>
      <c r="W157" s="3" t="str">
        <f>IFERROR(__xludf.DUMMYFUNCTION("""COMPUTED_VALUE"""),"M")</f>
        <v>M</v>
      </c>
      <c r="X157" s="26" t="str">
        <f>IFERROR(__xludf.DUMMYFUNCTION("""COMPUTED_VALUE"""),"https://rijksictdashboard.nl/ict-activiteiten/ce9d570c-f711-4bb1-953b-01a62f444c03")</f>
        <v>https://rijksictdashboard.nl/ict-activiteiten/ce9d570c-f711-4bb1-953b-01a62f444c03</v>
      </c>
      <c r="Y157" s="3"/>
      <c r="Z157" s="3"/>
      <c r="AA157" s="3"/>
      <c r="AB157" s="3"/>
    </row>
    <row r="158" ht="12.75" customHeight="1">
      <c r="A158" s="3" t="str">
        <f>IFERROR(__xludf.DUMMYFUNCTION("""COMPUTED_VALUE"""),"JUS")</f>
        <v>JUS</v>
      </c>
      <c r="B158" s="3" t="str">
        <f>IFERROR(__xludf.DUMMYFUNCTION("""COMPUTED_VALUE"""),"Vernieuwing informatievoorziening DJI")</f>
        <v>Vernieuwing informatievoorziening DJI</v>
      </c>
      <c r="C158" s="3">
        <f>IFERROR(__xludf.DUMMYFUNCTION("""COMPUTED_VALUE"""),50.0)</f>
        <v>50</v>
      </c>
      <c r="D158" s="3">
        <f>IFERROR(__xludf.DUMMYFUNCTION("""COMPUTED_VALUE"""),100.0)</f>
        <v>100</v>
      </c>
      <c r="E158" s="3" t="str">
        <f>IFERROR(__xludf.DUMMYFUNCTION("""COMPUTED_VALUE"""),"2002-2012")</f>
        <v>2002-2012</v>
      </c>
      <c r="F158" s="3">
        <f>IFERROR(__xludf.DUMMYFUNCTION("""COMPUTED_VALUE"""),10.0)</f>
        <v>10</v>
      </c>
      <c r="G158" s="3">
        <f>IFERROR(__xludf.DUMMYFUNCTION("""COMPUTED_VALUE"""),50.0)</f>
        <v>50</v>
      </c>
      <c r="H158" s="3">
        <f>IFERROR(__xludf.DUMMYFUNCTION("""COMPUTED_VALUE"""),5.0)</f>
        <v>5</v>
      </c>
      <c r="I158" s="3">
        <f>IFERROR(__xludf.DUMMYFUNCTION("""COMPUTED_VALUE"""),50.0)</f>
        <v>50</v>
      </c>
      <c r="J158" s="24">
        <f>IFERROR(__xludf.DUMMYFUNCTION("""COMPUTED_VALUE"""),4.5229754446839824E7)</f>
        <v>45229754.45</v>
      </c>
      <c r="K158" s="3" t="str">
        <f>IFERROR(__xludf.DUMMYFUNCTION("""COMPUTED_VALUE"""),"MIS")</f>
        <v>MIS</v>
      </c>
      <c r="L158" s="24">
        <f>IFERROR(__xludf.DUMMYFUNCTION("""COMPUTED_VALUE"""),13630.203863670667)</f>
        <v>13630.20386</v>
      </c>
      <c r="M158" s="25">
        <f>IFERROR(__xludf.DUMMYFUNCTION("""COMPUTED_VALUE"""),0.41608746392867213)</f>
        <v>0.4160874639</v>
      </c>
      <c r="N158" s="23">
        <f>IFERROR(__xludf.DUMMYFUNCTION("""COMPUTED_VALUE"""),20.80437319643361)</f>
        <v>20.8043732</v>
      </c>
      <c r="O158" s="3"/>
      <c r="P158" s="3" t="str">
        <f>IFERROR(__xludf.DUMMYFUNCTION("""COMPUTED_VALUE"""),"active")</f>
        <v>active</v>
      </c>
      <c r="Q158" s="3" t="str">
        <f>IFERROR(__xludf.DUMMYFUNCTION("""COMPUTED_VALUE"""),"completed")</f>
        <v>completed</v>
      </c>
      <c r="R158" s="3" t="str">
        <f>IFERROR(__xludf.DUMMYFUNCTION("""COMPUTED_VALUE"""),"31-12-2013")</f>
        <v>31-12-2013</v>
      </c>
      <c r="S158" s="3">
        <f>IFERROR(__xludf.DUMMYFUNCTION("""COMPUTED_VALUE"""),11.0)</f>
        <v>11</v>
      </c>
      <c r="T158" s="3">
        <f>IFERROR(__xludf.DUMMYFUNCTION("""COMPUTED_VALUE"""),1.0)</f>
        <v>1</v>
      </c>
      <c r="U158" s="3">
        <f>IFERROR(__xludf.DUMMYFUNCTION("""COMPUTED_VALUE"""),4.2)</f>
        <v>4.2</v>
      </c>
      <c r="V158" s="3">
        <f>IFERROR(__xludf.DUMMYFUNCTION("""COMPUTED_VALUE"""),-45.8)</f>
        <v>-45.8</v>
      </c>
      <c r="W158" s="3" t="str">
        <f>IFERROR(__xludf.DUMMYFUNCTION("""COMPUTED_VALUE"""),"T")</f>
        <v>T</v>
      </c>
      <c r="X158" s="26" t="str">
        <f>IFERROR(__xludf.DUMMYFUNCTION("""COMPUTED_VALUE"""),"https://rijksictdashboard.nl/ict-activiteiten/7322396e-dea8-4d38-9273-c197eb79180c")</f>
        <v>https://rijksictdashboard.nl/ict-activiteiten/7322396e-dea8-4d38-9273-c197eb79180c</v>
      </c>
      <c r="Y158" s="3"/>
      <c r="Z158" s="3"/>
      <c r="AA158" s="3"/>
      <c r="AB158" s="3"/>
    </row>
    <row r="159" ht="12.75" customHeight="1">
      <c r="A159" s="3" t="str">
        <f>IFERROR(__xludf.DUMMYFUNCTION("""COMPUTED_VALUE"""),"VenW")</f>
        <v>VenW</v>
      </c>
      <c r="B159" s="3" t="str">
        <f>IFERROR(__xludf.DUMMYFUNCTION("""COMPUTED_VALUE"""),"Modernisering Objecten Bediening Zeeland")</f>
        <v>Modernisering Objecten Bediening Zeeland</v>
      </c>
      <c r="C159" s="3">
        <f>IFERROR(__xludf.DUMMYFUNCTION("""COMPUTED_VALUE"""),62.0)</f>
        <v>62</v>
      </c>
      <c r="D159" s="3">
        <f>IFERROR(__xludf.DUMMYFUNCTION("""COMPUTED_VALUE"""),80.0)</f>
        <v>80</v>
      </c>
      <c r="E159" s="3" t="str">
        <f>IFERROR(__xludf.DUMMYFUNCTION("""COMPUTED_VALUE"""),"2004-2010")</f>
        <v>2004-2010</v>
      </c>
      <c r="F159" s="3">
        <f>IFERROR(__xludf.DUMMYFUNCTION("""COMPUTED_VALUE"""),6.0)</f>
        <v>6</v>
      </c>
      <c r="G159" s="3">
        <f>IFERROR(__xludf.DUMMYFUNCTION("""COMPUTED_VALUE"""),49.6)</f>
        <v>49.6</v>
      </c>
      <c r="H159" s="3">
        <f>IFERROR(__xludf.DUMMYFUNCTION("""COMPUTED_VALUE"""),8.266666666666667)</f>
        <v>8.266666667</v>
      </c>
      <c r="I159" s="3">
        <f>IFERROR(__xludf.DUMMYFUNCTION("""COMPUTED_VALUE"""),49.6)</f>
        <v>49.6</v>
      </c>
      <c r="J159" s="24">
        <f>IFERROR(__xludf.DUMMYFUNCTION("""COMPUTED_VALUE"""),4.4867916411265105E7)</f>
        <v>44867916.41</v>
      </c>
      <c r="K159" s="3" t="str">
        <f>IFERROR(__xludf.DUMMYFUNCTION("""COMPUTED_VALUE"""),"MIS")</f>
        <v>MIS</v>
      </c>
      <c r="L159" s="24">
        <f>IFERROR(__xludf.DUMMYFUNCTION("""COMPUTED_VALUE"""),13555.118576423083)</f>
        <v>13555.11858</v>
      </c>
      <c r="M159" s="25">
        <f>IFERROR(__xludf.DUMMYFUNCTION("""COMPUTED_VALUE"""),0.4156665966175554)</f>
        <v>0.4156665966</v>
      </c>
      <c r="N159" s="23">
        <f>IFERROR(__xludf.DUMMYFUNCTION("""COMPUTED_VALUE"""),25.771328990288435)</f>
        <v>25.77132899</v>
      </c>
      <c r="O159" s="3"/>
      <c r="P159" s="3" t="str">
        <f>IFERROR(__xludf.DUMMYFUNCTION("""COMPUTED_VALUE"""),"active")</f>
        <v>active</v>
      </c>
      <c r="Q159" s="3" t="str">
        <f>IFERROR(__xludf.DUMMYFUNCTION("""COMPUTED_VALUE"""),"completed")</f>
        <v>completed</v>
      </c>
      <c r="R159" s="3" t="str">
        <f>IFERROR(__xludf.DUMMYFUNCTION("""COMPUTED_VALUE"""),"31-12-2018")</f>
        <v>31-12-2018</v>
      </c>
      <c r="S159" s="3">
        <f>IFERROR(__xludf.DUMMYFUNCTION("""COMPUTED_VALUE"""),14.0)</f>
        <v>14</v>
      </c>
      <c r="T159" s="3">
        <f>IFERROR(__xludf.DUMMYFUNCTION("""COMPUTED_VALUE"""),8.0)</f>
        <v>8</v>
      </c>
      <c r="U159" s="3">
        <f>IFERROR(__xludf.DUMMYFUNCTION("""COMPUTED_VALUE"""),62.93)</f>
        <v>62.93</v>
      </c>
      <c r="V159" s="3">
        <f>IFERROR(__xludf.DUMMYFUNCTION("""COMPUTED_VALUE"""),0.9299999999999997)</f>
        <v>0.93</v>
      </c>
      <c r="W159" s="3" t="str">
        <f>IFERROR(__xludf.DUMMYFUNCTION("""COMPUTED_VALUE"""),"M&amp;T")</f>
        <v>M&amp;T</v>
      </c>
      <c r="X159" s="26" t="str">
        <f>IFERROR(__xludf.DUMMYFUNCTION("""COMPUTED_VALUE"""),"https://rijksictdashboard.nl/ict-activiteiten/f50705ba-ec4e-4893-ac46-ff5ed127e922")</f>
        <v>https://rijksictdashboard.nl/ict-activiteiten/f50705ba-ec4e-4893-ac46-ff5ed127e922</v>
      </c>
      <c r="Y159" s="3"/>
      <c r="Z159" s="3"/>
      <c r="AA159" s="3"/>
      <c r="AB159" s="3"/>
    </row>
    <row r="160" ht="12.75" customHeight="1">
      <c r="A160" s="3" t="str">
        <f>IFERROR(__xludf.DUMMYFUNCTION("""COMPUTED_VALUE"""),"FIN")</f>
        <v>FIN</v>
      </c>
      <c r="B160" s="3" t="str">
        <f>IFERROR(__xludf.DUMMYFUNCTION("""COMPUTED_VALUE"""),"Herinrichting invorderingsproces(renamed to ETM)")</f>
        <v>Herinrichting invorderingsproces(renamed to ETM)</v>
      </c>
      <c r="C160" s="3">
        <f>IFERROR(__xludf.DUMMYFUNCTION("""COMPUTED_VALUE"""),78.0)</f>
        <v>78</v>
      </c>
      <c r="D160" s="3">
        <f>IFERROR(__xludf.DUMMYFUNCTION("""COMPUTED_VALUE"""),100.0)</f>
        <v>100</v>
      </c>
      <c r="E160" s="3" t="str">
        <f>IFERROR(__xludf.DUMMYFUNCTION("""COMPUTED_VALUE"""),"2005-2008")</f>
        <v>2005-2008</v>
      </c>
      <c r="F160" s="3">
        <f>IFERROR(__xludf.DUMMYFUNCTION("""COMPUTED_VALUE"""),3.0)</f>
        <v>3</v>
      </c>
      <c r="G160" s="3">
        <f>IFERROR(__xludf.DUMMYFUNCTION("""COMPUTED_VALUE"""),78.0)</f>
        <v>78</v>
      </c>
      <c r="H160" s="3">
        <f>IFERROR(__xludf.DUMMYFUNCTION("""COMPUTED_VALUE"""),26.0)</f>
        <v>26</v>
      </c>
      <c r="I160" s="3">
        <f>IFERROR(__xludf.DUMMYFUNCTION("""COMPUTED_VALUE"""),78.0)</f>
        <v>78</v>
      </c>
      <c r="J160" s="24">
        <f>IFERROR(__xludf.DUMMYFUNCTION("""COMPUTED_VALUE"""),7.055841693707013E7)</f>
        <v>70558416.94</v>
      </c>
      <c r="K160" s="3" t="str">
        <f>IFERROR(__xludf.DUMMYFUNCTION("""COMPUTED_VALUE"""),"MIS")</f>
        <v>MIS</v>
      </c>
      <c r="L160" s="24">
        <f>IFERROR(__xludf.DUMMYFUNCTION("""COMPUTED_VALUE"""),18506.32079239063)</f>
        <v>18506.32079</v>
      </c>
      <c r="M160" s="25">
        <f>IFERROR(__xludf.DUMMYFUNCTION("""COMPUTED_VALUE"""),0.43713655430449533)</f>
        <v>0.4371365543</v>
      </c>
      <c r="N160" s="23">
        <f>IFERROR(__xludf.DUMMYFUNCTION("""COMPUTED_VALUE"""),34.096651235750635)</f>
        <v>34.09665124</v>
      </c>
      <c r="O160" s="3"/>
      <c r="P160" s="3" t="str">
        <f>IFERROR(__xludf.DUMMYFUNCTION("""COMPUTED_VALUE"""),"active")</f>
        <v>active</v>
      </c>
      <c r="Q160" s="3" t="str">
        <f>IFERROR(__xludf.DUMMYFUNCTION("""COMPUTED_VALUE"""),"completed")</f>
        <v>completed</v>
      </c>
      <c r="R160" s="3" t="str">
        <f>IFERROR(__xludf.DUMMYFUNCTION("""COMPUTED_VALUE"""),"31-12-2010")</f>
        <v>31-12-2010</v>
      </c>
      <c r="S160" s="3">
        <f>IFERROR(__xludf.DUMMYFUNCTION("""COMPUTED_VALUE"""),5.0)</f>
        <v>5</v>
      </c>
      <c r="T160" s="3">
        <f>IFERROR(__xludf.DUMMYFUNCTION("""COMPUTED_VALUE"""),2.0)</f>
        <v>2</v>
      </c>
      <c r="U160" s="3">
        <f>IFERROR(__xludf.DUMMYFUNCTION("""COMPUTED_VALUE"""),175.3)</f>
        <v>175.3</v>
      </c>
      <c r="V160" s="3">
        <f>IFERROR(__xludf.DUMMYFUNCTION("""COMPUTED_VALUE"""),97.30000000000001)</f>
        <v>97.3</v>
      </c>
      <c r="W160" s="3" t="str">
        <f>IFERROR(__xludf.DUMMYFUNCTION("""COMPUTED_VALUE"""),"M&amp;T")</f>
        <v>M&amp;T</v>
      </c>
      <c r="X160" s="26" t="str">
        <f>IFERROR(__xludf.DUMMYFUNCTION("""COMPUTED_VALUE"""),"https://rijksictdashboard.nl/ict-activiteiten/44407368-191b-4ae7-b727-7eab039661b7")</f>
        <v>https://rijksictdashboard.nl/ict-activiteiten/44407368-191b-4ae7-b727-7eab039661b7</v>
      </c>
      <c r="Y160" s="3"/>
      <c r="Z160" s="3"/>
      <c r="AA160" s="3"/>
      <c r="AB160" s="3"/>
    </row>
    <row r="161" ht="12.75" customHeight="1">
      <c r="A161" s="3" t="str">
        <f>IFERROR(__xludf.DUMMYFUNCTION("""COMPUTED_VALUE"""),"JUS")</f>
        <v>JUS</v>
      </c>
      <c r="B161" s="3" t="str">
        <f>IFERROR(__xludf.DUMMYFUNCTION("""COMPUTED_VALUE"""),"Vernieuwing IND (renamed to INDIGO)")</f>
        <v>Vernieuwing IND (renamed to INDIGO)</v>
      </c>
      <c r="C161" s="3">
        <f>IFERROR(__xludf.DUMMYFUNCTION("""COMPUTED_VALUE"""),80.0)</f>
        <v>80</v>
      </c>
      <c r="D161" s="3">
        <f>IFERROR(__xludf.DUMMYFUNCTION("""COMPUTED_VALUE"""),50.0)</f>
        <v>50</v>
      </c>
      <c r="E161" s="3" t="str">
        <f>IFERROR(__xludf.DUMMYFUNCTION("""COMPUTED_VALUE"""),"2006-2010")</f>
        <v>2006-2010</v>
      </c>
      <c r="F161" s="3">
        <f>IFERROR(__xludf.DUMMYFUNCTION("""COMPUTED_VALUE"""),4.0)</f>
        <v>4</v>
      </c>
      <c r="G161" s="3">
        <f>IFERROR(__xludf.DUMMYFUNCTION("""COMPUTED_VALUE"""),40.0)</f>
        <v>40</v>
      </c>
      <c r="H161" s="3">
        <f>IFERROR(__xludf.DUMMYFUNCTION("""COMPUTED_VALUE"""),10.0)</f>
        <v>10</v>
      </c>
      <c r="I161" s="3">
        <f>IFERROR(__xludf.DUMMYFUNCTION("""COMPUTED_VALUE"""),40.0)</f>
        <v>40</v>
      </c>
      <c r="J161" s="24">
        <f>IFERROR(__xludf.DUMMYFUNCTION("""COMPUTED_VALUE"""),3.6183803557471864E7)</f>
        <v>36183803.56</v>
      </c>
      <c r="K161" s="3" t="str">
        <f>IFERROR(__xludf.DUMMYFUNCTION("""COMPUTED_VALUE"""),"MIS")</f>
        <v>MIS</v>
      </c>
      <c r="L161" s="24">
        <f>IFERROR(__xludf.DUMMYFUNCTION("""COMPUTED_VALUE"""),11691.072420055798)</f>
        <v>11691.07242</v>
      </c>
      <c r="M161" s="25">
        <f>IFERROR(__xludf.DUMMYFUNCTION("""COMPUTED_VALUE"""),0.4039002916051075)</f>
        <v>0.4039002916</v>
      </c>
      <c r="N161" s="23">
        <f>IFERROR(__xludf.DUMMYFUNCTION("""COMPUTED_VALUE"""),32.3120233284086)</f>
        <v>32.31202333</v>
      </c>
      <c r="O161" s="3"/>
      <c r="P161" s="3" t="str">
        <f>IFERROR(__xludf.DUMMYFUNCTION("""COMPUTED_VALUE"""),"active")</f>
        <v>active</v>
      </c>
      <c r="Q161" s="3" t="str">
        <f>IFERROR(__xludf.DUMMYFUNCTION("""COMPUTED_VALUE"""),"completed")</f>
        <v>completed</v>
      </c>
      <c r="R161" s="3" t="str">
        <f>IFERROR(__xludf.DUMMYFUNCTION("""COMPUTED_VALUE"""),"31-12-2013")</f>
        <v>31-12-2013</v>
      </c>
      <c r="S161" s="3">
        <f>IFERROR(__xludf.DUMMYFUNCTION("""COMPUTED_VALUE"""),7.0)</f>
        <v>7</v>
      </c>
      <c r="T161" s="3">
        <f>IFERROR(__xludf.DUMMYFUNCTION("""COMPUTED_VALUE"""),3.0)</f>
        <v>3</v>
      </c>
      <c r="U161" s="3">
        <f>IFERROR(__xludf.DUMMYFUNCTION("""COMPUTED_VALUE"""),98.0)</f>
        <v>98</v>
      </c>
      <c r="V161" s="3">
        <f>IFERROR(__xludf.DUMMYFUNCTION("""COMPUTED_VALUE"""),18.0)</f>
        <v>18</v>
      </c>
      <c r="W161" s="3" t="str">
        <f>IFERROR(__xludf.DUMMYFUNCTION("""COMPUTED_VALUE"""),"M&amp;T")</f>
        <v>M&amp;T</v>
      </c>
      <c r="X161" s="26" t="str">
        <f>IFERROR(__xludf.DUMMYFUNCTION("""COMPUTED_VALUE"""),"https://rijksictdashboard.nl/ict-activiteiten/7bec8d3e-7062-41fb-a2e3-bdc1edf7c518")</f>
        <v>https://rijksictdashboard.nl/ict-activiteiten/7bec8d3e-7062-41fb-a2e3-bdc1edf7c518</v>
      </c>
      <c r="Y161" s="3"/>
      <c r="Z161" s="3"/>
      <c r="AA161" s="3"/>
      <c r="AB161" s="3"/>
    </row>
    <row r="162" ht="12.75" customHeight="1">
      <c r="A162" s="3" t="str">
        <f>IFERROR(__xludf.DUMMYFUNCTION("""COMPUTED_VALUE"""),"JUS")</f>
        <v>JUS</v>
      </c>
      <c r="B162" s="3" t="str">
        <f>IFERROR(__xludf.DUMMYFUNCTION("""COMPUTED_VALUE"""),"GPS")</f>
        <v>GPS</v>
      </c>
      <c r="C162" s="3">
        <f>IFERROR(__xludf.DUMMYFUNCTION("""COMPUTED_VALUE"""),90.0)</f>
        <v>90</v>
      </c>
      <c r="D162" s="3">
        <f>IFERROR(__xludf.DUMMYFUNCTION("""COMPUTED_VALUE"""),25.0)</f>
        <v>25</v>
      </c>
      <c r="E162" s="3" t="str">
        <f>IFERROR(__xludf.DUMMYFUNCTION("""COMPUTED_VALUE"""),"2000-2010")</f>
        <v>2000-2010</v>
      </c>
      <c r="F162" s="3">
        <f>IFERROR(__xludf.DUMMYFUNCTION("""COMPUTED_VALUE"""),10.0)</f>
        <v>10</v>
      </c>
      <c r="G162" s="3">
        <f>IFERROR(__xludf.DUMMYFUNCTION("""COMPUTED_VALUE"""),22.5)</f>
        <v>22.5</v>
      </c>
      <c r="H162" s="3">
        <f>IFERROR(__xludf.DUMMYFUNCTION("""COMPUTED_VALUE"""),2.25)</f>
        <v>2.25</v>
      </c>
      <c r="I162" s="3">
        <f>IFERROR(__xludf.DUMMYFUNCTION("""COMPUTED_VALUE"""),22.5)</f>
        <v>22.5</v>
      </c>
      <c r="J162" s="24">
        <f>IFERROR(__xludf.DUMMYFUNCTION("""COMPUTED_VALUE"""),2.035338950107792E7)</f>
        <v>20353389.5</v>
      </c>
      <c r="K162" s="3" t="str">
        <f>IFERROR(__xludf.DUMMYFUNCTION("""COMPUTED_VALUE"""),"MIS")</f>
        <v>MIS</v>
      </c>
      <c r="L162" s="24">
        <f>IFERROR(__xludf.DUMMYFUNCTION("""COMPUTED_VALUE"""),7870.565113232892)</f>
        <v>7870.565113</v>
      </c>
      <c r="M162" s="25">
        <f>IFERROR(__xludf.DUMMYFUNCTION("""COMPUTED_VALUE"""),0.36838689231766764)</f>
        <v>0.3683868923</v>
      </c>
      <c r="N162" s="23">
        <f>IFERROR(__xludf.DUMMYFUNCTION("""COMPUTED_VALUE"""),33.15482030859009)</f>
        <v>33.15482031</v>
      </c>
      <c r="O162" s="3"/>
      <c r="P162" s="3" t="str">
        <f>IFERROR(__xludf.DUMMYFUNCTION("""COMPUTED_VALUE"""),"active")</f>
        <v>active</v>
      </c>
      <c r="Q162" s="3" t="str">
        <f>IFERROR(__xludf.DUMMYFUNCTION("""COMPUTED_VALUE"""),"completed")</f>
        <v>completed</v>
      </c>
      <c r="R162" s="3" t="str">
        <f>IFERROR(__xludf.DUMMYFUNCTION("""COMPUTED_VALUE"""),"31-12-2011")</f>
        <v>31-12-2011</v>
      </c>
      <c r="S162" s="3">
        <f>IFERROR(__xludf.DUMMYFUNCTION("""COMPUTED_VALUE"""),11.0)</f>
        <v>11</v>
      </c>
      <c r="T162" s="3">
        <f>IFERROR(__xludf.DUMMYFUNCTION("""COMPUTED_VALUE"""),1.0)</f>
        <v>1</v>
      </c>
      <c r="U162" s="3">
        <f>IFERROR(__xludf.DUMMYFUNCTION("""COMPUTED_VALUE"""),99.4)</f>
        <v>99.4</v>
      </c>
      <c r="V162" s="3">
        <f>IFERROR(__xludf.DUMMYFUNCTION("""COMPUTED_VALUE"""),9.400000000000006)</f>
        <v>9.4</v>
      </c>
      <c r="W162" s="3" t="str">
        <f>IFERROR(__xludf.DUMMYFUNCTION("""COMPUTED_VALUE"""),"M&amp;T")</f>
        <v>M&amp;T</v>
      </c>
      <c r="X162" s="26" t="str">
        <f>IFERROR(__xludf.DUMMYFUNCTION("""COMPUTED_VALUE"""),"https://rijksictdashboard.nl/ict-activiteiten/132afe97-ad4f-49fc-b789-f3010c85c893")</f>
        <v>https://rijksictdashboard.nl/ict-activiteiten/132afe97-ad4f-49fc-b789-f3010c85c893</v>
      </c>
      <c r="Y162" s="3"/>
      <c r="Z162" s="3"/>
      <c r="AA162" s="3"/>
      <c r="AB162" s="3"/>
    </row>
    <row r="163" ht="12.75" customHeight="1">
      <c r="A163" s="3" t="str">
        <f>IFERROR(__xludf.DUMMYFUNCTION("""COMPUTED_VALUE"""),"SZW")</f>
        <v>SZW</v>
      </c>
      <c r="B163" s="3" t="str">
        <f>IFERROR(__xludf.DUMMYFUNCTION("""COMPUTED_VALUE"""),"SVB Tien (SVB)")</f>
        <v>SVB Tien (SVB)</v>
      </c>
      <c r="C163" s="3">
        <f>IFERROR(__xludf.DUMMYFUNCTION("""COMPUTED_VALUE"""),92.0)</f>
        <v>92</v>
      </c>
      <c r="D163" s="3">
        <f>IFERROR(__xludf.DUMMYFUNCTION("""COMPUTED_VALUE"""),30.0)</f>
        <v>30</v>
      </c>
      <c r="E163" s="3" t="str">
        <f>IFERROR(__xludf.DUMMYFUNCTION("""COMPUTED_VALUE"""),"2006-2010")</f>
        <v>2006-2010</v>
      </c>
      <c r="F163" s="3">
        <f>IFERROR(__xludf.DUMMYFUNCTION("""COMPUTED_VALUE"""),4.0)</f>
        <v>4</v>
      </c>
      <c r="G163" s="3">
        <f>IFERROR(__xludf.DUMMYFUNCTION("""COMPUTED_VALUE"""),27.6)</f>
        <v>27.6</v>
      </c>
      <c r="H163" s="3">
        <f>IFERROR(__xludf.DUMMYFUNCTION("""COMPUTED_VALUE"""),6.9)</f>
        <v>6.9</v>
      </c>
      <c r="I163" s="3">
        <f>IFERROR(__xludf.DUMMYFUNCTION("""COMPUTED_VALUE"""),27.6)</f>
        <v>27.6</v>
      </c>
      <c r="J163" s="24">
        <f>IFERROR(__xludf.DUMMYFUNCTION("""COMPUTED_VALUE"""),2.4966824454655584E7)</f>
        <v>24966824.45</v>
      </c>
      <c r="K163" s="3" t="str">
        <f>IFERROR(__xludf.DUMMYFUNCTION("""COMPUTED_VALUE"""),"MIS")</f>
        <v>MIS</v>
      </c>
      <c r="L163" s="24">
        <f>IFERROR(__xludf.DUMMYFUNCTION("""COMPUTED_VALUE"""),9057.866322397238)</f>
        <v>9057.866322</v>
      </c>
      <c r="M163" s="25">
        <f>IFERROR(__xludf.DUMMYFUNCTION("""COMPUTED_VALUE"""),0.3815836334717935)</f>
        <v>0.3815836335</v>
      </c>
      <c r="N163" s="23">
        <f>IFERROR(__xludf.DUMMYFUNCTION("""COMPUTED_VALUE"""),35.10569427940501)</f>
        <v>35.10569428</v>
      </c>
      <c r="O163" s="3"/>
      <c r="P163" s="3" t="str">
        <f>IFERROR(__xludf.DUMMYFUNCTION("""COMPUTED_VALUE"""),"cancelled")</f>
        <v>cancelled</v>
      </c>
      <c r="Q163" s="3" t="str">
        <f>IFERROR(__xludf.DUMMYFUNCTION("""COMPUTED_VALUE"""),"cancelled")</f>
        <v>cancelled</v>
      </c>
      <c r="R163" s="27">
        <f>IFERROR(__xludf.DUMMYFUNCTION("""COMPUTED_VALUE"""),41679.0)</f>
        <v>41679</v>
      </c>
      <c r="S163" s="3">
        <f>IFERROR(__xludf.DUMMYFUNCTION("""COMPUTED_VALUE"""),8.0)</f>
        <v>8</v>
      </c>
      <c r="T163" s="3">
        <f>IFERROR(__xludf.DUMMYFUNCTION("""COMPUTED_VALUE"""),4.0)</f>
        <v>4</v>
      </c>
      <c r="U163" s="3">
        <f>IFERROR(__xludf.DUMMYFUNCTION("""COMPUTED_VALUE"""),121.8)</f>
        <v>121.8</v>
      </c>
      <c r="V163" s="3">
        <f>IFERROR(__xludf.DUMMYFUNCTION("""COMPUTED_VALUE"""),29.799999999999997)</f>
        <v>29.8</v>
      </c>
      <c r="W163" s="3" t="str">
        <f>IFERROR(__xludf.DUMMYFUNCTION("""COMPUTED_VALUE"""),"M&amp;T")</f>
        <v>M&amp;T</v>
      </c>
      <c r="X163" s="26" t="str">
        <f>IFERROR(__xludf.DUMMYFUNCTION("""COMPUTED_VALUE"""),"https://rijksictdashboard.nl/ict-activiteiten/09b1ce9a-294f-48db-96b9-bf5cb79305cc")</f>
        <v>https://rijksictdashboard.nl/ict-activiteiten/09b1ce9a-294f-48db-96b9-bf5cb79305cc</v>
      </c>
      <c r="Y163" s="3"/>
      <c r="Z163" s="3"/>
      <c r="AA163" s="3"/>
      <c r="AB163" s="3"/>
    </row>
    <row r="164" ht="12.75" customHeight="1">
      <c r="A164" s="3" t="str">
        <f>IFERROR(__xludf.DUMMYFUNCTION("""COMPUTED_VALUE"""),"DEF")</f>
        <v>DEF</v>
      </c>
      <c r="B164" s="3" t="str">
        <f>IFERROR(__xludf.DUMMYFUNCTION("""COMPUTED_VALUE"""),"SPEER")</f>
        <v>SPEER</v>
      </c>
      <c r="C164" s="3">
        <f>IFERROR(__xludf.DUMMYFUNCTION("""COMPUTED_VALUE"""),150.0)</f>
        <v>150</v>
      </c>
      <c r="D164" s="3">
        <f>IFERROR(__xludf.DUMMYFUNCTION("""COMPUTED_VALUE"""),33.0)</f>
        <v>33</v>
      </c>
      <c r="E164" s="3" t="str">
        <f>IFERROR(__xludf.DUMMYFUNCTION("""COMPUTED_VALUE"""),"till 2013")</f>
        <v>till 2013</v>
      </c>
      <c r="F164" s="3">
        <f>IFERROR(__xludf.DUMMYFUNCTION("""COMPUTED_VALUE"""),4.789657293186565)</f>
        <v>4.789657293</v>
      </c>
      <c r="G164" s="3">
        <f>IFERROR(__xludf.DUMMYFUNCTION("""COMPUTED_VALUE"""),49.5)</f>
        <v>49.5</v>
      </c>
      <c r="H164" s="3">
        <f>IFERROR(__xludf.DUMMYFUNCTION("""COMPUTED_VALUE"""),10.33476864209372)</f>
        <v>10.33476864</v>
      </c>
      <c r="I164" s="3">
        <f>IFERROR(__xludf.DUMMYFUNCTION("""COMPUTED_VALUE"""),49.5)</f>
        <v>49.5</v>
      </c>
      <c r="J164" s="24">
        <f>IFERROR(__xludf.DUMMYFUNCTION("""COMPUTED_VALUE"""),4.477745690237143E7)</f>
        <v>44777456.9</v>
      </c>
      <c r="K164" s="3" t="str">
        <f>IFERROR(__xludf.DUMMYFUNCTION("""COMPUTED_VALUE"""),"MIS")</f>
        <v>MIS</v>
      </c>
      <c r="L164" s="24">
        <f>IFERROR(__xludf.DUMMYFUNCTION("""COMPUTED_VALUE"""),13536.317750478493)</f>
        <v>13536.31775</v>
      </c>
      <c r="M164" s="25">
        <f>IFERROR(__xludf.DUMMYFUNCTION("""COMPUTED_VALUE"""),0.41556063377676555)</f>
        <v>0.4155606338</v>
      </c>
      <c r="N164" s="23">
        <f>IFERROR(__xludf.DUMMYFUNCTION("""COMPUTED_VALUE"""),62.334095066514834)</f>
        <v>62.33409507</v>
      </c>
      <c r="O164" s="3"/>
      <c r="P164" s="3" t="str">
        <f>IFERROR(__xludf.DUMMYFUNCTION("""COMPUTED_VALUE"""),"active")</f>
        <v>active</v>
      </c>
      <c r="Q164" s="3" t="str">
        <f>IFERROR(__xludf.DUMMYFUNCTION("""COMPUTED_VALUE"""),"completed")</f>
        <v>completed</v>
      </c>
      <c r="R164" s="3" t="str">
        <f>IFERROR(__xludf.DUMMYFUNCTION("""COMPUTED_VALUE"""),"31-12-2015")</f>
        <v>31-12-2015</v>
      </c>
      <c r="S164" s="3">
        <f>IFERROR(__xludf.DUMMYFUNCTION("""COMPUTED_VALUE"""),6.789657293186565)</f>
        <v>6.789657293</v>
      </c>
      <c r="T164" s="3">
        <f>IFERROR(__xludf.DUMMYFUNCTION("""COMPUTED_VALUE"""),2.0)</f>
        <v>2</v>
      </c>
      <c r="U164" s="3">
        <f>IFERROR(__xludf.DUMMYFUNCTION("""COMPUTED_VALUE"""),276.44)</f>
        <v>276.44</v>
      </c>
      <c r="V164" s="3">
        <f>IFERROR(__xludf.DUMMYFUNCTION("""COMPUTED_VALUE"""),126.44)</f>
        <v>126.44</v>
      </c>
      <c r="W164" s="3" t="str">
        <f>IFERROR(__xludf.DUMMYFUNCTION("""COMPUTED_VALUE"""),"M&amp;T")</f>
        <v>M&amp;T</v>
      </c>
      <c r="X164" s="26" t="str">
        <f>IFERROR(__xludf.DUMMYFUNCTION("""COMPUTED_VALUE"""),"https://rijksictdashboard.nl/ict-activiteiten/85e1279b-0c14-45f1-b144-3144cf75c544")</f>
        <v>https://rijksictdashboard.nl/ict-activiteiten/85e1279b-0c14-45f1-b144-3144cf75c544</v>
      </c>
      <c r="Y164" s="3"/>
      <c r="Z164" s="3"/>
      <c r="AA164" s="3"/>
      <c r="AB164" s="3"/>
    </row>
    <row r="165" ht="12.75" customHeight="1">
      <c r="A165" s="3" t="str">
        <f>IFERROR(__xludf.DUMMYFUNCTION("""COMPUTED_VALUE"""),"FIN")</f>
        <v>FIN</v>
      </c>
      <c r="B165" s="3" t="str">
        <f>IFERROR(__xludf.DUMMYFUNCTION("""COMPUTED_VALUE"""),"Toeslagen")</f>
        <v>Toeslagen</v>
      </c>
      <c r="C165" s="3">
        <f>IFERROR(__xludf.DUMMYFUNCTION("""COMPUTED_VALUE"""),275.0)</f>
        <v>275</v>
      </c>
      <c r="D165" s="3">
        <f>IFERROR(__xludf.DUMMYFUNCTION("""COMPUTED_VALUE"""),81.0)</f>
        <v>81</v>
      </c>
      <c r="E165" s="3" t="str">
        <f>IFERROR(__xludf.DUMMYFUNCTION("""COMPUTED_VALUE"""),"2005-2008")</f>
        <v>2005-2008</v>
      </c>
      <c r="F165" s="3">
        <f>IFERROR(__xludf.DUMMYFUNCTION("""COMPUTED_VALUE"""),3.0)</f>
        <v>3</v>
      </c>
      <c r="G165" s="3">
        <f>IFERROR(__xludf.DUMMYFUNCTION("""COMPUTED_VALUE"""),222.75)</f>
        <v>222.75</v>
      </c>
      <c r="H165" s="3">
        <f>IFERROR(__xludf.DUMMYFUNCTION("""COMPUTED_VALUE"""),74.25)</f>
        <v>74.25</v>
      </c>
      <c r="I165" s="3">
        <f>IFERROR(__xludf.DUMMYFUNCTION("""COMPUTED_VALUE"""),222.75)</f>
        <v>222.75</v>
      </c>
      <c r="J165" s="24">
        <f>IFERROR(__xludf.DUMMYFUNCTION("""COMPUTED_VALUE"""),2.0149855606067142E8)</f>
        <v>201498556.1</v>
      </c>
      <c r="K165" s="3" t="str">
        <f>IFERROR(__xludf.DUMMYFUNCTION("""COMPUTED_VALUE"""),"MIS")</f>
        <v>MIS</v>
      </c>
      <c r="L165" s="24">
        <f>IFERROR(__xludf.DUMMYFUNCTION("""COMPUTED_VALUE"""),38083.32904145198)</f>
        <v>38083.32904</v>
      </c>
      <c r="M165" s="25">
        <f>IFERROR(__xludf.DUMMYFUNCTION("""COMPUTED_VALUE"""),0.4683491292834761)</f>
        <v>0.4683491293</v>
      </c>
      <c r="N165" s="23">
        <f>IFERROR(__xludf.DUMMYFUNCTION("""COMPUTED_VALUE"""),128.79601055295592)</f>
        <v>128.7960106</v>
      </c>
      <c r="O165" s="3"/>
      <c r="P165" s="3" t="str">
        <f>IFERROR(__xludf.DUMMYFUNCTION("""COMPUTED_VALUE"""),"active")</f>
        <v>active</v>
      </c>
      <c r="Q165" s="3" t="str">
        <f>IFERROR(__xludf.DUMMYFUNCTION("""COMPUTED_VALUE"""),"completed")</f>
        <v>completed</v>
      </c>
      <c r="R165" s="3" t="str">
        <f>IFERROR(__xludf.DUMMYFUNCTION("""COMPUTED_VALUE"""),"23-12-2011")</f>
        <v>23-12-2011</v>
      </c>
      <c r="S165" s="3">
        <f>IFERROR(__xludf.DUMMYFUNCTION("""COMPUTED_VALUE"""),6.0)</f>
        <v>6</v>
      </c>
      <c r="T165" s="3">
        <f>IFERROR(__xludf.DUMMYFUNCTION("""COMPUTED_VALUE"""),3.0)</f>
        <v>3</v>
      </c>
      <c r="U165" s="3">
        <f>IFERROR(__xludf.DUMMYFUNCTION("""COMPUTED_VALUE"""),240.0)</f>
        <v>240</v>
      </c>
      <c r="V165" s="3">
        <f>IFERROR(__xludf.DUMMYFUNCTION("""COMPUTED_VALUE"""),-35.0)</f>
        <v>-35</v>
      </c>
      <c r="W165" s="3" t="str">
        <f>IFERROR(__xludf.DUMMYFUNCTION("""COMPUTED_VALUE"""),"T")</f>
        <v>T</v>
      </c>
      <c r="X165" s="26" t="str">
        <f>IFERROR(__xludf.DUMMYFUNCTION("""COMPUTED_VALUE"""),"https://rijksictdashboard.nl/ict-activiteiten/e65803ab-6288-40f4-95bb-7b4ba269a327")</f>
        <v>https://rijksictdashboard.nl/ict-activiteiten/e65803ab-6288-40f4-95bb-7b4ba269a327</v>
      </c>
      <c r="Y165" s="3"/>
      <c r="Z165" s="3"/>
      <c r="AA165" s="3"/>
      <c r="AB165" s="3"/>
    </row>
    <row r="166" ht="12.75" customHeight="1">
      <c r="A166" s="3" t="str">
        <f>IFERROR(__xludf.DUMMYFUNCTION("""COMPUTED_VALUE"""),"BZK")</f>
        <v>BZK</v>
      </c>
      <c r="B166" s="3" t="str">
        <f>IFERROR(__xludf.DUMMYFUNCTION("""COMPUTED_VALUE"""),"P-direkt")</f>
        <v>P-direkt</v>
      </c>
      <c r="C166" s="3">
        <f>IFERROR(__xludf.DUMMYFUNCTION("""COMPUTED_VALUE"""),700.0)</f>
        <v>700</v>
      </c>
      <c r="D166" s="3">
        <f>IFERROR(__xludf.DUMMYFUNCTION("""COMPUTED_VALUE"""),42.0)</f>
        <v>42</v>
      </c>
      <c r="E166" s="3" t="str">
        <f>IFERROR(__xludf.DUMMYFUNCTION("""COMPUTED_VALUE"""),"2004-2018")</f>
        <v>2004-2018</v>
      </c>
      <c r="F166" s="3">
        <f>IFERROR(__xludf.DUMMYFUNCTION("""COMPUTED_VALUE"""),12.0)</f>
        <v>12</v>
      </c>
      <c r="G166" s="3">
        <f>IFERROR(__xludf.DUMMYFUNCTION("""COMPUTED_VALUE"""),294.0)</f>
        <v>294</v>
      </c>
      <c r="H166" s="3">
        <f>IFERROR(__xludf.DUMMYFUNCTION("""COMPUTED_VALUE"""),24.5)</f>
        <v>24.5</v>
      </c>
      <c r="I166" s="3">
        <f>IFERROR(__xludf.DUMMYFUNCTION("""COMPUTED_VALUE"""),294.0)</f>
        <v>294</v>
      </c>
      <c r="J166" s="24">
        <f>IFERROR(__xludf.DUMMYFUNCTION("""COMPUTED_VALUE"""),2.6595095614741814E8)</f>
        <v>265950956.1</v>
      </c>
      <c r="K166" s="3" t="str">
        <f>IFERROR(__xludf.DUMMYFUNCTION("""COMPUTED_VALUE"""),"MIS")</f>
        <v>MIS</v>
      </c>
      <c r="L166" s="24">
        <f>IFERROR(__xludf.DUMMYFUNCTION("""COMPUTED_VALUE"""),46092.13608873918)</f>
        <v>46092.13609</v>
      </c>
      <c r="M166" s="25">
        <f>IFERROR(__xludf.DUMMYFUNCTION("""COMPUTED_VALUE"""),0.4726597927825182)</f>
        <v>0.4726597928</v>
      </c>
      <c r="N166" s="23">
        <f>IFERROR(__xludf.DUMMYFUNCTION("""COMPUTED_VALUE"""),330.8618549477627)</f>
        <v>330.8618549</v>
      </c>
      <c r="O166" s="3"/>
      <c r="P166" s="3" t="str">
        <f>IFERROR(__xludf.DUMMYFUNCTION("""COMPUTED_VALUE"""),"active")</f>
        <v>active</v>
      </c>
      <c r="Q166" s="3" t="str">
        <f>IFERROR(__xludf.DUMMYFUNCTION("""COMPUTED_VALUE"""),"completed")</f>
        <v>completed</v>
      </c>
      <c r="R166" s="3" t="str">
        <f>IFERROR(__xludf.DUMMYFUNCTION("""COMPUTED_VALUE"""),"31-12-2010")</f>
        <v>31-12-2010</v>
      </c>
      <c r="S166" s="3">
        <f>IFERROR(__xludf.DUMMYFUNCTION("""COMPUTED_VALUE"""),4.0)</f>
        <v>4</v>
      </c>
      <c r="T166" s="3">
        <f>IFERROR(__xludf.DUMMYFUNCTION("""COMPUTED_VALUE"""),-8.0)</f>
        <v>-8</v>
      </c>
      <c r="U166" s="3">
        <f>IFERROR(__xludf.DUMMYFUNCTION("""COMPUTED_VALUE"""),115.91)</f>
        <v>115.91</v>
      </c>
      <c r="V166" s="3">
        <f>IFERROR(__xludf.DUMMYFUNCTION("""COMPUTED_VALUE"""),-584.09)</f>
        <v>-584.09</v>
      </c>
      <c r="W166" s="3"/>
      <c r="X166" s="26" t="str">
        <f>IFERROR(__xludf.DUMMYFUNCTION("""COMPUTED_VALUE"""),"https://rijksictdashboard.nl/ict-activiteiten/e404d751-2023-4ddb-86c1-5469bc63317f")</f>
        <v>https://rijksictdashboard.nl/ict-activiteiten/e404d751-2023-4ddb-86c1-5469bc63317f</v>
      </c>
      <c r="Y166" s="3"/>
      <c r="Z166" s="3"/>
      <c r="AA166" s="3"/>
      <c r="AB166" s="3"/>
    </row>
    <row r="167" ht="12.75" customHeight="1"/>
    <row r="168" ht="12.75" customHeight="1"/>
    <row r="169" ht="12.75" customHeight="1"/>
    <row r="170" ht="12.75" customHeight="1"/>
    <row r="171" ht="12.75" customHeight="1">
      <c r="V171" s="3">
        <f>SUMIF(V174:V192, "&gt;0")
</f>
        <v>434.91</v>
      </c>
    </row>
    <row r="172" ht="12.75" customHeight="1">
      <c r="A172" s="8" t="s">
        <v>259</v>
      </c>
      <c r="N172" s="23">
        <f>SUM(N174:N192)</f>
        <v>834.4792062</v>
      </c>
      <c r="V172" s="3">
        <f>SUM(V174:V192)</f>
        <v>-301.16</v>
      </c>
    </row>
    <row r="173" ht="12.75" customHeight="1">
      <c r="A173" s="3" t="str">
        <f t="shared" ref="A173:AA173" si="23">A9</f>
        <v>Min</v>
      </c>
      <c r="B173" s="3" t="str">
        <f t="shared" si="23"/>
        <v>Description</v>
      </c>
      <c r="C173" s="3" t="str">
        <f t="shared" si="23"/>
        <v>Planned Cost (mln EUR)</v>
      </c>
      <c r="D173" s="3" t="str">
        <f t="shared" si="23"/>
        <v>% IT</v>
      </c>
      <c r="E173" s="3" t="str">
        <f t="shared" si="23"/>
        <v>time period</v>
      </c>
      <c r="F173" s="3" t="str">
        <f t="shared" si="23"/>
        <v>Planned Duration (year)</v>
      </c>
      <c r="G173" s="3" t="str">
        <f t="shared" si="23"/>
        <v>IT EUR(mln)</v>
      </c>
      <c r="H173" s="3" t="str">
        <f t="shared" si="23"/>
        <v>IT/year</v>
      </c>
      <c r="I173" s="3" t="str">
        <f t="shared" si="23"/>
        <v>software EUR(mln)</v>
      </c>
      <c r="J173" s="3" t="str">
        <f t="shared" si="23"/>
        <v>dollars 99</v>
      </c>
      <c r="K173" s="3" t="str">
        <f t="shared" si="23"/>
        <v>Benchmark</v>
      </c>
      <c r="L173" s="3" t="str">
        <f t="shared" si="23"/>
        <v>size (FP)</v>
      </c>
      <c r="M173" s="3" t="str">
        <f t="shared" si="23"/>
        <v>probability of failure</v>
      </c>
      <c r="N173" s="3" t="str">
        <f t="shared" si="23"/>
        <v>failure(mln EUR)</v>
      </c>
      <c r="O173" s="3" t="str">
        <f t="shared" si="23"/>
        <v/>
      </c>
      <c r="P173" s="3" t="str">
        <f t="shared" si="23"/>
        <v>Current status</v>
      </c>
      <c r="Q173" s="3" t="str">
        <f t="shared" si="23"/>
        <v>Combined status</v>
      </c>
      <c r="R173" s="3" t="str">
        <f t="shared" si="23"/>
        <v>Online date</v>
      </c>
      <c r="S173" s="3" t="str">
        <f t="shared" si="23"/>
        <v>Actual Duration (year)</v>
      </c>
      <c r="T173" s="3" t="str">
        <f t="shared" si="23"/>
        <v>Time Overrun (years)</v>
      </c>
      <c r="U173" s="3" t="str">
        <f t="shared" si="23"/>
        <v>Lastest cost</v>
      </c>
      <c r="V173" s="3" t="str">
        <f t="shared" si="23"/>
        <v>Cost Overrun (mln EUR)</v>
      </c>
      <c r="W173" s="3" t="str">
        <f t="shared" si="23"/>
        <v>Overrun(M&amp;T)</v>
      </c>
      <c r="X173" s="3" t="str">
        <f t="shared" si="23"/>
        <v>info link</v>
      </c>
      <c r="Y173" s="3" t="str">
        <f t="shared" si="23"/>
        <v/>
      </c>
      <c r="Z173" s="3" t="str">
        <f t="shared" si="23"/>
        <v/>
      </c>
      <c r="AA173" s="3" t="str">
        <f t="shared" si="23"/>
        <v/>
      </c>
    </row>
    <row r="174" ht="12.75" customHeight="1">
      <c r="A174" s="3" t="str">
        <f>IFERROR(__xludf.DUMMYFUNCTION("FILTER(A10:AB82, LEN(U10:U82) &gt; 0)"),"BZK")</f>
        <v>BZK</v>
      </c>
      <c r="B174" s="3" t="str">
        <f>IFERROR(__xludf.DUMMYFUNCTION("""COMPUTED_VALUE"""),"P-direkt")</f>
        <v>P-direkt</v>
      </c>
      <c r="C174" s="3">
        <f>IFERROR(__xludf.DUMMYFUNCTION("""COMPUTED_VALUE"""),700.0)</f>
        <v>700</v>
      </c>
      <c r="D174" s="3">
        <f>IFERROR(__xludf.DUMMYFUNCTION("""COMPUTED_VALUE"""),42.0)</f>
        <v>42</v>
      </c>
      <c r="E174" s="3" t="str">
        <f>IFERROR(__xludf.DUMMYFUNCTION("""COMPUTED_VALUE"""),"2004-2018")</f>
        <v>2004-2018</v>
      </c>
      <c r="F174" s="3">
        <f>IFERROR(__xludf.DUMMYFUNCTION("""COMPUTED_VALUE"""),12.0)</f>
        <v>12</v>
      </c>
      <c r="G174" s="3">
        <f>IFERROR(__xludf.DUMMYFUNCTION("""COMPUTED_VALUE"""),294.0)</f>
        <v>294</v>
      </c>
      <c r="H174" s="3">
        <f>IFERROR(__xludf.DUMMYFUNCTION("""COMPUTED_VALUE"""),24.5)</f>
        <v>24.5</v>
      </c>
      <c r="I174" s="3">
        <f>IFERROR(__xludf.DUMMYFUNCTION("""COMPUTED_VALUE"""),294.0)</f>
        <v>294</v>
      </c>
      <c r="J174" s="24">
        <f>IFERROR(__xludf.DUMMYFUNCTION("""COMPUTED_VALUE"""),2.6595095614741814E8)</f>
        <v>265950956.1</v>
      </c>
      <c r="K174" s="3" t="str">
        <f>IFERROR(__xludf.DUMMYFUNCTION("""COMPUTED_VALUE"""),"MIS")</f>
        <v>MIS</v>
      </c>
      <c r="L174" s="24">
        <f>IFERROR(__xludf.DUMMYFUNCTION("""COMPUTED_VALUE"""),46092.13608873918)</f>
        <v>46092.13609</v>
      </c>
      <c r="M174" s="25">
        <f>IFERROR(__xludf.DUMMYFUNCTION("""COMPUTED_VALUE"""),0.4726597927825182)</f>
        <v>0.4726597928</v>
      </c>
      <c r="N174" s="23">
        <f>IFERROR(__xludf.DUMMYFUNCTION("""COMPUTED_VALUE"""),330.8618549477627)</f>
        <v>330.8618549</v>
      </c>
      <c r="O174" s="3"/>
      <c r="P174" s="3" t="str">
        <f>IFERROR(__xludf.DUMMYFUNCTION("""COMPUTED_VALUE"""),"active")</f>
        <v>active</v>
      </c>
      <c r="Q174" s="3" t="str">
        <f>IFERROR(__xludf.DUMMYFUNCTION("""COMPUTED_VALUE"""),"completed")</f>
        <v>completed</v>
      </c>
      <c r="R174" s="3" t="str">
        <f>IFERROR(__xludf.DUMMYFUNCTION("""COMPUTED_VALUE"""),"31-12-2010")</f>
        <v>31-12-2010</v>
      </c>
      <c r="S174" s="3">
        <f>IFERROR(__xludf.DUMMYFUNCTION("""COMPUTED_VALUE"""),4.0)</f>
        <v>4</v>
      </c>
      <c r="T174" s="3">
        <f>IFERROR(__xludf.DUMMYFUNCTION("""COMPUTED_VALUE"""),-8.0)</f>
        <v>-8</v>
      </c>
      <c r="U174" s="3">
        <f>IFERROR(__xludf.DUMMYFUNCTION("""COMPUTED_VALUE"""),115.91)</f>
        <v>115.91</v>
      </c>
      <c r="V174" s="3">
        <f>IFERROR(__xludf.DUMMYFUNCTION("""COMPUTED_VALUE"""),-584.09)</f>
        <v>-584.09</v>
      </c>
      <c r="W174" s="3"/>
      <c r="X174" s="26" t="str">
        <f>IFERROR(__xludf.DUMMYFUNCTION("""COMPUTED_VALUE"""),"https://rijksictdashboard.nl/ict-activiteiten/e404d751-2023-4ddb-86c1-5469bc63317f")</f>
        <v>https://rijksictdashboard.nl/ict-activiteiten/e404d751-2023-4ddb-86c1-5469bc63317f</v>
      </c>
      <c r="Y174" s="3"/>
      <c r="Z174" s="3"/>
      <c r="AA174" s="3"/>
      <c r="AB174" s="3"/>
    </row>
    <row r="175" ht="12.75" customHeight="1">
      <c r="A175" s="3" t="str">
        <f>IFERROR(__xludf.DUMMYFUNCTION("""COMPUTED_VALUE"""),"FIN")</f>
        <v>FIN</v>
      </c>
      <c r="B175" s="3" t="str">
        <f>IFERROR(__xludf.DUMMYFUNCTION("""COMPUTED_VALUE"""),"Toeslagen")</f>
        <v>Toeslagen</v>
      </c>
      <c r="C175" s="3">
        <f>IFERROR(__xludf.DUMMYFUNCTION("""COMPUTED_VALUE"""),275.0)</f>
        <v>275</v>
      </c>
      <c r="D175" s="3">
        <f>IFERROR(__xludf.DUMMYFUNCTION("""COMPUTED_VALUE"""),81.0)</f>
        <v>81</v>
      </c>
      <c r="E175" s="3" t="str">
        <f>IFERROR(__xludf.DUMMYFUNCTION("""COMPUTED_VALUE"""),"2005-2008")</f>
        <v>2005-2008</v>
      </c>
      <c r="F175" s="3">
        <f>IFERROR(__xludf.DUMMYFUNCTION("""COMPUTED_VALUE"""),3.0)</f>
        <v>3</v>
      </c>
      <c r="G175" s="3">
        <f>IFERROR(__xludf.DUMMYFUNCTION("""COMPUTED_VALUE"""),222.75)</f>
        <v>222.75</v>
      </c>
      <c r="H175" s="3">
        <f>IFERROR(__xludf.DUMMYFUNCTION("""COMPUTED_VALUE"""),74.25)</f>
        <v>74.25</v>
      </c>
      <c r="I175" s="3">
        <f>IFERROR(__xludf.DUMMYFUNCTION("""COMPUTED_VALUE"""),222.75)</f>
        <v>222.75</v>
      </c>
      <c r="J175" s="24">
        <f>IFERROR(__xludf.DUMMYFUNCTION("""COMPUTED_VALUE"""),2.0149855606067142E8)</f>
        <v>201498556.1</v>
      </c>
      <c r="K175" s="3" t="str">
        <f>IFERROR(__xludf.DUMMYFUNCTION("""COMPUTED_VALUE"""),"MIS")</f>
        <v>MIS</v>
      </c>
      <c r="L175" s="24">
        <f>IFERROR(__xludf.DUMMYFUNCTION("""COMPUTED_VALUE"""),38083.32904145198)</f>
        <v>38083.32904</v>
      </c>
      <c r="M175" s="25">
        <f>IFERROR(__xludf.DUMMYFUNCTION("""COMPUTED_VALUE"""),0.4683491292834761)</f>
        <v>0.4683491293</v>
      </c>
      <c r="N175" s="23">
        <f>IFERROR(__xludf.DUMMYFUNCTION("""COMPUTED_VALUE"""),128.79601055295592)</f>
        <v>128.7960106</v>
      </c>
      <c r="O175" s="3"/>
      <c r="P175" s="3" t="str">
        <f>IFERROR(__xludf.DUMMYFUNCTION("""COMPUTED_VALUE"""),"active")</f>
        <v>active</v>
      </c>
      <c r="Q175" s="3" t="str">
        <f>IFERROR(__xludf.DUMMYFUNCTION("""COMPUTED_VALUE"""),"completed")</f>
        <v>completed</v>
      </c>
      <c r="R175" s="3" t="str">
        <f>IFERROR(__xludf.DUMMYFUNCTION("""COMPUTED_VALUE"""),"23-12-2011")</f>
        <v>23-12-2011</v>
      </c>
      <c r="S175" s="3">
        <f>IFERROR(__xludf.DUMMYFUNCTION("""COMPUTED_VALUE"""),6.0)</f>
        <v>6</v>
      </c>
      <c r="T175" s="3">
        <f>IFERROR(__xludf.DUMMYFUNCTION("""COMPUTED_VALUE"""),3.0)</f>
        <v>3</v>
      </c>
      <c r="U175" s="3">
        <f>IFERROR(__xludf.DUMMYFUNCTION("""COMPUTED_VALUE"""),240.0)</f>
        <v>240</v>
      </c>
      <c r="V175" s="3">
        <f>IFERROR(__xludf.DUMMYFUNCTION("""COMPUTED_VALUE"""),-35.0)</f>
        <v>-35</v>
      </c>
      <c r="W175" s="3" t="str">
        <f>IFERROR(__xludf.DUMMYFUNCTION("""COMPUTED_VALUE"""),"T")</f>
        <v>T</v>
      </c>
      <c r="X175" s="26" t="str">
        <f>IFERROR(__xludf.DUMMYFUNCTION("""COMPUTED_VALUE"""),"https://rijksictdashboard.nl/ict-activiteiten/e65803ab-6288-40f4-95bb-7b4ba269a327")</f>
        <v>https://rijksictdashboard.nl/ict-activiteiten/e65803ab-6288-40f4-95bb-7b4ba269a327</v>
      </c>
      <c r="Y175" s="3"/>
      <c r="Z175" s="3"/>
      <c r="AA175" s="3"/>
      <c r="AB175" s="3"/>
    </row>
    <row r="176" ht="12.75" customHeight="1">
      <c r="A176" s="3" t="str">
        <f>IFERROR(__xludf.DUMMYFUNCTION("""COMPUTED_VALUE"""),"FIN")</f>
        <v>FIN</v>
      </c>
      <c r="B176" s="3" t="str">
        <f>IFERROR(__xludf.DUMMYFUNCTION("""COMPUTED_VALUE"""),"Herinrichting invorderingsproces(renamed to ETM)")</f>
        <v>Herinrichting invorderingsproces(renamed to ETM)</v>
      </c>
      <c r="C176" s="3">
        <f>IFERROR(__xludf.DUMMYFUNCTION("""COMPUTED_VALUE"""),78.0)</f>
        <v>78</v>
      </c>
      <c r="D176" s="3">
        <f>IFERROR(__xludf.DUMMYFUNCTION("""COMPUTED_VALUE"""),100.0)</f>
        <v>100</v>
      </c>
      <c r="E176" s="3" t="str">
        <f>IFERROR(__xludf.DUMMYFUNCTION("""COMPUTED_VALUE"""),"2005-2008")</f>
        <v>2005-2008</v>
      </c>
      <c r="F176" s="3">
        <f>IFERROR(__xludf.DUMMYFUNCTION("""COMPUTED_VALUE"""),3.0)</f>
        <v>3</v>
      </c>
      <c r="G176" s="3">
        <f>IFERROR(__xludf.DUMMYFUNCTION("""COMPUTED_VALUE"""),78.0)</f>
        <v>78</v>
      </c>
      <c r="H176" s="3">
        <f>IFERROR(__xludf.DUMMYFUNCTION("""COMPUTED_VALUE"""),26.0)</f>
        <v>26</v>
      </c>
      <c r="I176" s="3">
        <f>IFERROR(__xludf.DUMMYFUNCTION("""COMPUTED_VALUE"""),78.0)</f>
        <v>78</v>
      </c>
      <c r="J176" s="24">
        <f>IFERROR(__xludf.DUMMYFUNCTION("""COMPUTED_VALUE"""),7.055841693707013E7)</f>
        <v>70558416.94</v>
      </c>
      <c r="K176" s="3" t="str">
        <f>IFERROR(__xludf.DUMMYFUNCTION("""COMPUTED_VALUE"""),"MIS")</f>
        <v>MIS</v>
      </c>
      <c r="L176" s="24">
        <f>IFERROR(__xludf.DUMMYFUNCTION("""COMPUTED_VALUE"""),18506.32079239063)</f>
        <v>18506.32079</v>
      </c>
      <c r="M176" s="25">
        <f>IFERROR(__xludf.DUMMYFUNCTION("""COMPUTED_VALUE"""),0.43713655430449533)</f>
        <v>0.4371365543</v>
      </c>
      <c r="N176" s="23">
        <f>IFERROR(__xludf.DUMMYFUNCTION("""COMPUTED_VALUE"""),34.096651235750635)</f>
        <v>34.09665124</v>
      </c>
      <c r="O176" s="3"/>
      <c r="P176" s="3" t="str">
        <f>IFERROR(__xludf.DUMMYFUNCTION("""COMPUTED_VALUE"""),"active")</f>
        <v>active</v>
      </c>
      <c r="Q176" s="3" t="str">
        <f>IFERROR(__xludf.DUMMYFUNCTION("""COMPUTED_VALUE"""),"completed")</f>
        <v>completed</v>
      </c>
      <c r="R176" s="3" t="str">
        <f>IFERROR(__xludf.DUMMYFUNCTION("""COMPUTED_VALUE"""),"31-12-2010")</f>
        <v>31-12-2010</v>
      </c>
      <c r="S176" s="3">
        <f>IFERROR(__xludf.DUMMYFUNCTION("""COMPUTED_VALUE"""),5.0)</f>
        <v>5</v>
      </c>
      <c r="T176" s="3">
        <f>IFERROR(__xludf.DUMMYFUNCTION("""COMPUTED_VALUE"""),2.0)</f>
        <v>2</v>
      </c>
      <c r="U176" s="3">
        <f>IFERROR(__xludf.DUMMYFUNCTION("""COMPUTED_VALUE"""),175.3)</f>
        <v>175.3</v>
      </c>
      <c r="V176" s="3">
        <f>IFERROR(__xludf.DUMMYFUNCTION("""COMPUTED_VALUE"""),97.30000000000001)</f>
        <v>97.3</v>
      </c>
      <c r="W176" s="3" t="str">
        <f>IFERROR(__xludf.DUMMYFUNCTION("""COMPUTED_VALUE"""),"M&amp;T")</f>
        <v>M&amp;T</v>
      </c>
      <c r="X176" s="26" t="str">
        <f>IFERROR(__xludf.DUMMYFUNCTION("""COMPUTED_VALUE"""),"https://rijksictdashboard.nl/ict-activiteiten/44407368-191b-4ae7-b727-7eab039661b7")</f>
        <v>https://rijksictdashboard.nl/ict-activiteiten/44407368-191b-4ae7-b727-7eab039661b7</v>
      </c>
      <c r="Y176" s="3"/>
      <c r="Z176" s="3"/>
      <c r="AA176" s="3"/>
      <c r="AB176" s="3"/>
    </row>
    <row r="177" ht="12.75" customHeight="1">
      <c r="A177" s="3" t="str">
        <f>IFERROR(__xludf.DUMMYFUNCTION("""COMPUTED_VALUE"""),"JUS")</f>
        <v>JUS</v>
      </c>
      <c r="B177" s="3" t="str">
        <f>IFERROR(__xludf.DUMMYFUNCTION("""COMPUTED_VALUE"""),"Vernieuwing informatievoorziening DJI")</f>
        <v>Vernieuwing informatievoorziening DJI</v>
      </c>
      <c r="C177" s="3">
        <f>IFERROR(__xludf.DUMMYFUNCTION("""COMPUTED_VALUE"""),50.0)</f>
        <v>50</v>
      </c>
      <c r="D177" s="3">
        <f>IFERROR(__xludf.DUMMYFUNCTION("""COMPUTED_VALUE"""),100.0)</f>
        <v>100</v>
      </c>
      <c r="E177" s="3" t="str">
        <f>IFERROR(__xludf.DUMMYFUNCTION("""COMPUTED_VALUE"""),"2002-2012")</f>
        <v>2002-2012</v>
      </c>
      <c r="F177" s="3">
        <f>IFERROR(__xludf.DUMMYFUNCTION("""COMPUTED_VALUE"""),10.0)</f>
        <v>10</v>
      </c>
      <c r="G177" s="3">
        <f>IFERROR(__xludf.DUMMYFUNCTION("""COMPUTED_VALUE"""),50.0)</f>
        <v>50</v>
      </c>
      <c r="H177" s="3">
        <f>IFERROR(__xludf.DUMMYFUNCTION("""COMPUTED_VALUE"""),5.0)</f>
        <v>5</v>
      </c>
      <c r="I177" s="3">
        <f>IFERROR(__xludf.DUMMYFUNCTION("""COMPUTED_VALUE"""),50.0)</f>
        <v>50</v>
      </c>
      <c r="J177" s="24">
        <f>IFERROR(__xludf.DUMMYFUNCTION("""COMPUTED_VALUE"""),4.5229754446839824E7)</f>
        <v>45229754.45</v>
      </c>
      <c r="K177" s="3" t="str">
        <f>IFERROR(__xludf.DUMMYFUNCTION("""COMPUTED_VALUE"""),"MIS")</f>
        <v>MIS</v>
      </c>
      <c r="L177" s="24">
        <f>IFERROR(__xludf.DUMMYFUNCTION("""COMPUTED_VALUE"""),13630.203863670667)</f>
        <v>13630.20386</v>
      </c>
      <c r="M177" s="25">
        <f>IFERROR(__xludf.DUMMYFUNCTION("""COMPUTED_VALUE"""),0.41608746392867213)</f>
        <v>0.4160874639</v>
      </c>
      <c r="N177" s="23">
        <f>IFERROR(__xludf.DUMMYFUNCTION("""COMPUTED_VALUE"""),20.80437319643361)</f>
        <v>20.8043732</v>
      </c>
      <c r="O177" s="3"/>
      <c r="P177" s="3" t="str">
        <f>IFERROR(__xludf.DUMMYFUNCTION("""COMPUTED_VALUE"""),"active")</f>
        <v>active</v>
      </c>
      <c r="Q177" s="3" t="str">
        <f>IFERROR(__xludf.DUMMYFUNCTION("""COMPUTED_VALUE"""),"completed")</f>
        <v>completed</v>
      </c>
      <c r="R177" s="3" t="str">
        <f>IFERROR(__xludf.DUMMYFUNCTION("""COMPUTED_VALUE"""),"31-12-2013")</f>
        <v>31-12-2013</v>
      </c>
      <c r="S177" s="3">
        <f>IFERROR(__xludf.DUMMYFUNCTION("""COMPUTED_VALUE"""),11.0)</f>
        <v>11</v>
      </c>
      <c r="T177" s="3">
        <f>IFERROR(__xludf.DUMMYFUNCTION("""COMPUTED_VALUE"""),1.0)</f>
        <v>1</v>
      </c>
      <c r="U177" s="3">
        <f>IFERROR(__xludf.DUMMYFUNCTION("""COMPUTED_VALUE"""),4.2)</f>
        <v>4.2</v>
      </c>
      <c r="V177" s="3">
        <f>IFERROR(__xludf.DUMMYFUNCTION("""COMPUTED_VALUE"""),-45.8)</f>
        <v>-45.8</v>
      </c>
      <c r="W177" s="3" t="str">
        <f>IFERROR(__xludf.DUMMYFUNCTION("""COMPUTED_VALUE"""),"T")</f>
        <v>T</v>
      </c>
      <c r="X177" s="26" t="str">
        <f>IFERROR(__xludf.DUMMYFUNCTION("""COMPUTED_VALUE"""),"https://rijksictdashboard.nl/ict-activiteiten/7322396e-dea8-4d38-9273-c197eb79180c")</f>
        <v>https://rijksictdashboard.nl/ict-activiteiten/7322396e-dea8-4d38-9273-c197eb79180c</v>
      </c>
      <c r="Y177" s="3"/>
      <c r="Z177" s="3"/>
      <c r="AA177" s="3"/>
      <c r="AB177" s="3"/>
    </row>
    <row r="178" ht="12.75" customHeight="1">
      <c r="A178" s="3" t="str">
        <f>IFERROR(__xludf.DUMMYFUNCTION("""COMPUTED_VALUE"""),"VenW")</f>
        <v>VenW</v>
      </c>
      <c r="B178" s="3" t="str">
        <f>IFERROR(__xludf.DUMMYFUNCTION("""COMPUTED_VALUE"""),"Modernisering Objecten Bediening Zeeland")</f>
        <v>Modernisering Objecten Bediening Zeeland</v>
      </c>
      <c r="C178" s="3">
        <f>IFERROR(__xludf.DUMMYFUNCTION("""COMPUTED_VALUE"""),62.0)</f>
        <v>62</v>
      </c>
      <c r="D178" s="3">
        <f>IFERROR(__xludf.DUMMYFUNCTION("""COMPUTED_VALUE"""),80.0)</f>
        <v>80</v>
      </c>
      <c r="E178" s="3" t="str">
        <f>IFERROR(__xludf.DUMMYFUNCTION("""COMPUTED_VALUE"""),"2004-2010")</f>
        <v>2004-2010</v>
      </c>
      <c r="F178" s="3">
        <f>IFERROR(__xludf.DUMMYFUNCTION("""COMPUTED_VALUE"""),6.0)</f>
        <v>6</v>
      </c>
      <c r="G178" s="3">
        <f>IFERROR(__xludf.DUMMYFUNCTION("""COMPUTED_VALUE"""),49.6)</f>
        <v>49.6</v>
      </c>
      <c r="H178" s="3">
        <f>IFERROR(__xludf.DUMMYFUNCTION("""COMPUTED_VALUE"""),8.266666666666667)</f>
        <v>8.266666667</v>
      </c>
      <c r="I178" s="3">
        <f>IFERROR(__xludf.DUMMYFUNCTION("""COMPUTED_VALUE"""),49.6)</f>
        <v>49.6</v>
      </c>
      <c r="J178" s="24">
        <f>IFERROR(__xludf.DUMMYFUNCTION("""COMPUTED_VALUE"""),4.4867916411265105E7)</f>
        <v>44867916.41</v>
      </c>
      <c r="K178" s="3" t="str">
        <f>IFERROR(__xludf.DUMMYFUNCTION("""COMPUTED_VALUE"""),"MIS")</f>
        <v>MIS</v>
      </c>
      <c r="L178" s="24">
        <f>IFERROR(__xludf.DUMMYFUNCTION("""COMPUTED_VALUE"""),13555.118576423083)</f>
        <v>13555.11858</v>
      </c>
      <c r="M178" s="25">
        <f>IFERROR(__xludf.DUMMYFUNCTION("""COMPUTED_VALUE"""),0.4156665966175554)</f>
        <v>0.4156665966</v>
      </c>
      <c r="N178" s="23">
        <f>IFERROR(__xludf.DUMMYFUNCTION("""COMPUTED_VALUE"""),25.771328990288435)</f>
        <v>25.77132899</v>
      </c>
      <c r="O178" s="3"/>
      <c r="P178" s="3" t="str">
        <f>IFERROR(__xludf.DUMMYFUNCTION("""COMPUTED_VALUE"""),"active")</f>
        <v>active</v>
      </c>
      <c r="Q178" s="3" t="str">
        <f>IFERROR(__xludf.DUMMYFUNCTION("""COMPUTED_VALUE"""),"completed")</f>
        <v>completed</v>
      </c>
      <c r="R178" s="3" t="str">
        <f>IFERROR(__xludf.DUMMYFUNCTION("""COMPUTED_VALUE"""),"31-12-2018")</f>
        <v>31-12-2018</v>
      </c>
      <c r="S178" s="3">
        <f>IFERROR(__xludf.DUMMYFUNCTION("""COMPUTED_VALUE"""),14.0)</f>
        <v>14</v>
      </c>
      <c r="T178" s="3">
        <f>IFERROR(__xludf.DUMMYFUNCTION("""COMPUTED_VALUE"""),8.0)</f>
        <v>8</v>
      </c>
      <c r="U178" s="3">
        <f>IFERROR(__xludf.DUMMYFUNCTION("""COMPUTED_VALUE"""),62.93)</f>
        <v>62.93</v>
      </c>
      <c r="V178" s="3">
        <f>IFERROR(__xludf.DUMMYFUNCTION("""COMPUTED_VALUE"""),0.9299999999999997)</f>
        <v>0.93</v>
      </c>
      <c r="W178" s="3" t="str">
        <f>IFERROR(__xludf.DUMMYFUNCTION("""COMPUTED_VALUE"""),"M&amp;T")</f>
        <v>M&amp;T</v>
      </c>
      <c r="X178" s="26" t="str">
        <f>IFERROR(__xludf.DUMMYFUNCTION("""COMPUTED_VALUE"""),"https://rijksictdashboard.nl/ict-activiteiten/f50705ba-ec4e-4893-ac46-ff5ed127e922")</f>
        <v>https://rijksictdashboard.nl/ict-activiteiten/f50705ba-ec4e-4893-ac46-ff5ed127e922</v>
      </c>
      <c r="Y178" s="3"/>
      <c r="Z178" s="3"/>
      <c r="AA178" s="3"/>
      <c r="AB178" s="3"/>
    </row>
    <row r="179" ht="12.75" customHeight="1">
      <c r="A179" s="3" t="str">
        <f>IFERROR(__xludf.DUMMYFUNCTION("""COMPUTED_VALUE"""),"DEF")</f>
        <v>DEF</v>
      </c>
      <c r="B179" s="3" t="str">
        <f>IFERROR(__xludf.DUMMYFUNCTION("""COMPUTED_VALUE"""),"SPEER")</f>
        <v>SPEER</v>
      </c>
      <c r="C179" s="3">
        <f>IFERROR(__xludf.DUMMYFUNCTION("""COMPUTED_VALUE"""),150.0)</f>
        <v>150</v>
      </c>
      <c r="D179" s="3">
        <f>IFERROR(__xludf.DUMMYFUNCTION("""COMPUTED_VALUE"""),33.0)</f>
        <v>33</v>
      </c>
      <c r="E179" s="3" t="str">
        <f>IFERROR(__xludf.DUMMYFUNCTION("""COMPUTED_VALUE"""),"till 2013")</f>
        <v>till 2013</v>
      </c>
      <c r="F179" s="3">
        <f>IFERROR(__xludf.DUMMYFUNCTION("""COMPUTED_VALUE"""),4.789657293186565)</f>
        <v>4.789657293</v>
      </c>
      <c r="G179" s="3">
        <f>IFERROR(__xludf.DUMMYFUNCTION("""COMPUTED_VALUE"""),49.5)</f>
        <v>49.5</v>
      </c>
      <c r="H179" s="3">
        <f>IFERROR(__xludf.DUMMYFUNCTION("""COMPUTED_VALUE"""),10.33476864209372)</f>
        <v>10.33476864</v>
      </c>
      <c r="I179" s="3">
        <f>IFERROR(__xludf.DUMMYFUNCTION("""COMPUTED_VALUE"""),49.5)</f>
        <v>49.5</v>
      </c>
      <c r="J179" s="24">
        <f>IFERROR(__xludf.DUMMYFUNCTION("""COMPUTED_VALUE"""),4.477745690237143E7)</f>
        <v>44777456.9</v>
      </c>
      <c r="K179" s="3" t="str">
        <f>IFERROR(__xludf.DUMMYFUNCTION("""COMPUTED_VALUE"""),"MIS")</f>
        <v>MIS</v>
      </c>
      <c r="L179" s="24">
        <f>IFERROR(__xludf.DUMMYFUNCTION("""COMPUTED_VALUE"""),13536.317750478493)</f>
        <v>13536.31775</v>
      </c>
      <c r="M179" s="25">
        <f>IFERROR(__xludf.DUMMYFUNCTION("""COMPUTED_VALUE"""),0.41556063377676555)</f>
        <v>0.4155606338</v>
      </c>
      <c r="N179" s="23">
        <f>IFERROR(__xludf.DUMMYFUNCTION("""COMPUTED_VALUE"""),62.334095066514834)</f>
        <v>62.33409507</v>
      </c>
      <c r="O179" s="3"/>
      <c r="P179" s="3" t="str">
        <f>IFERROR(__xludf.DUMMYFUNCTION("""COMPUTED_VALUE"""),"active")</f>
        <v>active</v>
      </c>
      <c r="Q179" s="3" t="str">
        <f>IFERROR(__xludf.DUMMYFUNCTION("""COMPUTED_VALUE"""),"completed")</f>
        <v>completed</v>
      </c>
      <c r="R179" s="3" t="str">
        <f>IFERROR(__xludf.DUMMYFUNCTION("""COMPUTED_VALUE"""),"31-12-2015")</f>
        <v>31-12-2015</v>
      </c>
      <c r="S179" s="3">
        <f>IFERROR(__xludf.DUMMYFUNCTION("""COMPUTED_VALUE"""),6.789657293186565)</f>
        <v>6.789657293</v>
      </c>
      <c r="T179" s="3">
        <f>IFERROR(__xludf.DUMMYFUNCTION("""COMPUTED_VALUE"""),2.0)</f>
        <v>2</v>
      </c>
      <c r="U179" s="3">
        <f>IFERROR(__xludf.DUMMYFUNCTION("""COMPUTED_VALUE"""),276.44)</f>
        <v>276.44</v>
      </c>
      <c r="V179" s="3">
        <f>IFERROR(__xludf.DUMMYFUNCTION("""COMPUTED_VALUE"""),126.44)</f>
        <v>126.44</v>
      </c>
      <c r="W179" s="3" t="str">
        <f>IFERROR(__xludf.DUMMYFUNCTION("""COMPUTED_VALUE"""),"M&amp;T")</f>
        <v>M&amp;T</v>
      </c>
      <c r="X179" s="26" t="str">
        <f>IFERROR(__xludf.DUMMYFUNCTION("""COMPUTED_VALUE"""),"https://rijksictdashboard.nl/ict-activiteiten/85e1279b-0c14-45f1-b144-3144cf75c544")</f>
        <v>https://rijksictdashboard.nl/ict-activiteiten/85e1279b-0c14-45f1-b144-3144cf75c544</v>
      </c>
      <c r="Y179" s="3"/>
      <c r="Z179" s="3"/>
      <c r="AA179" s="3"/>
      <c r="AB179" s="3"/>
    </row>
    <row r="180" ht="12.75" customHeight="1">
      <c r="A180" s="3" t="str">
        <f>IFERROR(__xludf.DUMMYFUNCTION("""COMPUTED_VALUE"""),"FIN")</f>
        <v>FIN</v>
      </c>
      <c r="B180" s="3" t="str">
        <f>IFERROR(__xludf.DUMMYFUNCTION("""COMPUTED_VALUE"""),"Basisregistraties")</f>
        <v>Basisregistraties</v>
      </c>
      <c r="C180" s="3">
        <f>IFERROR(__xludf.DUMMYFUNCTION("""COMPUTED_VALUE"""),46.0)</f>
        <v>46</v>
      </c>
      <c r="D180" s="3">
        <f>IFERROR(__xludf.DUMMYFUNCTION("""COMPUTED_VALUE"""),93.0)</f>
        <v>93</v>
      </c>
      <c r="E180" s="3" t="str">
        <f>IFERROR(__xludf.DUMMYFUNCTION("""COMPUTED_VALUE"""),"2007-2010")</f>
        <v>2007-2010</v>
      </c>
      <c r="F180" s="3">
        <f>IFERROR(__xludf.DUMMYFUNCTION("""COMPUTED_VALUE"""),3.0)</f>
        <v>3</v>
      </c>
      <c r="G180" s="3">
        <f>IFERROR(__xludf.DUMMYFUNCTION("""COMPUTED_VALUE"""),42.78)</f>
        <v>42.78</v>
      </c>
      <c r="H180" s="3">
        <f>IFERROR(__xludf.DUMMYFUNCTION("""COMPUTED_VALUE"""),14.26)</f>
        <v>14.26</v>
      </c>
      <c r="I180" s="3">
        <f>IFERROR(__xludf.DUMMYFUNCTION("""COMPUTED_VALUE"""),42.78)</f>
        <v>42.78</v>
      </c>
      <c r="J180" s="24">
        <f>IFERROR(__xludf.DUMMYFUNCTION("""COMPUTED_VALUE"""),3.869857790471616E7)</f>
        <v>38698577.9</v>
      </c>
      <c r="K180" s="3" t="str">
        <f>IFERROR(__xludf.DUMMYFUNCTION("""COMPUTED_VALUE"""),"MIS")</f>
        <v>MIS</v>
      </c>
      <c r="L180" s="24">
        <f>IFERROR(__xludf.DUMMYFUNCTION("""COMPUTED_VALUE"""),12243.987514004502)</f>
        <v>12243.98751</v>
      </c>
      <c r="M180" s="25">
        <f>IFERROR(__xludf.DUMMYFUNCTION("""COMPUTED_VALUE"""),0.4076756158084571)</f>
        <v>0.4076756158</v>
      </c>
      <c r="N180" s="23">
        <f>IFERROR(__xludf.DUMMYFUNCTION("""COMPUTED_VALUE"""),18.753078327189026)</f>
        <v>18.75307833</v>
      </c>
      <c r="O180" s="3"/>
      <c r="P180" s="3" t="str">
        <f>IFERROR(__xludf.DUMMYFUNCTION("""COMPUTED_VALUE"""),"active")</f>
        <v>active</v>
      </c>
      <c r="Q180" s="3" t="str">
        <f>IFERROR(__xludf.DUMMYFUNCTION("""COMPUTED_VALUE"""),"completed")</f>
        <v>completed</v>
      </c>
      <c r="R180" s="3" t="str">
        <f>IFERROR(__xludf.DUMMYFUNCTION("""COMPUTED_VALUE"""),"31-12-2015")</f>
        <v>31-12-2015</v>
      </c>
      <c r="S180" s="3">
        <f>IFERROR(__xludf.DUMMYFUNCTION("""COMPUTED_VALUE"""),8.0)</f>
        <v>8</v>
      </c>
      <c r="T180" s="3">
        <f>IFERROR(__xludf.DUMMYFUNCTION("""COMPUTED_VALUE"""),5.0)</f>
        <v>5</v>
      </c>
      <c r="U180" s="3">
        <f>IFERROR(__xludf.DUMMYFUNCTION("""COMPUTED_VALUE"""),42.7)</f>
        <v>42.7</v>
      </c>
      <c r="V180" s="3">
        <f>IFERROR(__xludf.DUMMYFUNCTION("""COMPUTED_VALUE"""),-3.299999999999997)</f>
        <v>-3.3</v>
      </c>
      <c r="W180" s="3" t="str">
        <f>IFERROR(__xludf.DUMMYFUNCTION("""COMPUTED_VALUE"""),"T")</f>
        <v>T</v>
      </c>
      <c r="X180" s="26" t="str">
        <f>IFERROR(__xludf.DUMMYFUNCTION("""COMPUTED_VALUE"""),"https://rijksictdashboard.nl/ict-activiteiten/2de4f98a-9342-40b8-b5c4-c76d6269cc92")</f>
        <v>https://rijksictdashboard.nl/ict-activiteiten/2de4f98a-9342-40b8-b5c4-c76d6269cc92</v>
      </c>
      <c r="Y180" s="3"/>
      <c r="Z180" s="3"/>
      <c r="AA180" s="3"/>
      <c r="AB180" s="3"/>
    </row>
    <row r="181" ht="12.75" customHeight="1">
      <c r="A181" s="3" t="str">
        <f>IFERROR(__xludf.DUMMYFUNCTION("""COMPUTED_VALUE"""),"BZ")</f>
        <v>BZ</v>
      </c>
      <c r="B181" s="3" t="str">
        <f>IFERROR(__xludf.DUMMYFUNCTION("""COMPUTED_VALUE"""),"Werken in de Toekomst (WIT)")</f>
        <v>Werken in de Toekomst (WIT)</v>
      </c>
      <c r="C181" s="3">
        <f>IFERROR(__xludf.DUMMYFUNCTION("""COMPUTED_VALUE"""),50.0)</f>
        <v>50</v>
      </c>
      <c r="D181" s="3">
        <f>IFERROR(__xludf.DUMMYFUNCTION("""COMPUTED_VALUE"""),85.0)</f>
        <v>85</v>
      </c>
      <c r="E181" s="3" t="str">
        <f>IFERROR(__xludf.DUMMYFUNCTION("""COMPUTED_VALUE"""),"2008-2001")</f>
        <v>2008-2001</v>
      </c>
      <c r="F181" s="3">
        <f>IFERROR(__xludf.DUMMYFUNCTION("""COMPUTED_VALUE"""),7.0)</f>
        <v>7</v>
      </c>
      <c r="G181" s="3">
        <f>IFERROR(__xludf.DUMMYFUNCTION("""COMPUTED_VALUE"""),42.5)</f>
        <v>42.5</v>
      </c>
      <c r="H181" s="3">
        <f>IFERROR(__xludf.DUMMYFUNCTION("""COMPUTED_VALUE"""),6.071428571428571)</f>
        <v>6.071428571</v>
      </c>
      <c r="I181" s="3">
        <f>IFERROR(__xludf.DUMMYFUNCTION("""COMPUTED_VALUE"""),42.5)</f>
        <v>42.5</v>
      </c>
      <c r="J181" s="24">
        <f>IFERROR(__xludf.DUMMYFUNCTION("""COMPUTED_VALUE"""),3.844529127981384E7)</f>
        <v>38445291.28</v>
      </c>
      <c r="K181" s="3" t="str">
        <f>IFERROR(__xludf.DUMMYFUNCTION("""COMPUTED_VALUE"""),"MIS")</f>
        <v>MIS</v>
      </c>
      <c r="L181" s="24">
        <f>IFERROR(__xludf.DUMMYFUNCTION("""COMPUTED_VALUE"""),12188.81745288988)</f>
        <v>12188.81745</v>
      </c>
      <c r="M181" s="25">
        <f>IFERROR(__xludf.DUMMYFUNCTION("""COMPUTED_VALUE"""),0.407310558951624)</f>
        <v>0.407310559</v>
      </c>
      <c r="N181" s="23">
        <f>IFERROR(__xludf.DUMMYFUNCTION("""COMPUTED_VALUE"""),20.3655279475812)</f>
        <v>20.36552795</v>
      </c>
      <c r="O181" s="3"/>
      <c r="P181" s="3" t="str">
        <f>IFERROR(__xludf.DUMMYFUNCTION("""COMPUTED_VALUE"""),"cancelled")</f>
        <v>cancelled</v>
      </c>
      <c r="Q181" s="3" t="str">
        <f>IFERROR(__xludf.DUMMYFUNCTION("""COMPUTED_VALUE"""),"cancelled")</f>
        <v>cancelled</v>
      </c>
      <c r="R181" s="3"/>
      <c r="S181" s="3" t="str">
        <f>IFERROR(__xludf.DUMMYFUNCTION("""COMPUTED_VALUE"""),"")</f>
        <v/>
      </c>
      <c r="T181" s="3"/>
      <c r="U181" s="3">
        <f>IFERROR(__xludf.DUMMYFUNCTION("""COMPUTED_VALUE"""),10.0)</f>
        <v>10</v>
      </c>
      <c r="V181" s="3">
        <f>IFERROR(__xludf.DUMMYFUNCTION("""COMPUTED_VALUE"""),-40.0)</f>
        <v>-40</v>
      </c>
      <c r="W181" s="3"/>
      <c r="X181" s="3" t="str">
        <f>IFERROR(__xludf.DUMMYFUNCTION("""COMPUTED_VALUE"""),"T1")</f>
        <v>T1</v>
      </c>
      <c r="Y181" s="3"/>
      <c r="Z181" s="3"/>
      <c r="AA181" s="3"/>
      <c r="AB181" s="3"/>
    </row>
    <row r="182" ht="12.75" customHeight="1">
      <c r="A182" s="3" t="str">
        <f>IFERROR(__xludf.DUMMYFUNCTION("""COMPUTED_VALUE"""),"JUS")</f>
        <v>JUS</v>
      </c>
      <c r="B182" s="3" t="str">
        <f>IFERROR(__xludf.DUMMYFUNCTION("""COMPUTED_VALUE"""),"Vernieuwing IND (renamed to INDIGO)")</f>
        <v>Vernieuwing IND (renamed to INDIGO)</v>
      </c>
      <c r="C182" s="3">
        <f>IFERROR(__xludf.DUMMYFUNCTION("""COMPUTED_VALUE"""),80.0)</f>
        <v>80</v>
      </c>
      <c r="D182" s="3">
        <f>IFERROR(__xludf.DUMMYFUNCTION("""COMPUTED_VALUE"""),50.0)</f>
        <v>50</v>
      </c>
      <c r="E182" s="3" t="str">
        <f>IFERROR(__xludf.DUMMYFUNCTION("""COMPUTED_VALUE"""),"2006-2010")</f>
        <v>2006-2010</v>
      </c>
      <c r="F182" s="3">
        <f>IFERROR(__xludf.DUMMYFUNCTION("""COMPUTED_VALUE"""),4.0)</f>
        <v>4</v>
      </c>
      <c r="G182" s="3">
        <f>IFERROR(__xludf.DUMMYFUNCTION("""COMPUTED_VALUE"""),40.0)</f>
        <v>40</v>
      </c>
      <c r="H182" s="3">
        <f>IFERROR(__xludf.DUMMYFUNCTION("""COMPUTED_VALUE"""),10.0)</f>
        <v>10</v>
      </c>
      <c r="I182" s="3">
        <f>IFERROR(__xludf.DUMMYFUNCTION("""COMPUTED_VALUE"""),40.0)</f>
        <v>40</v>
      </c>
      <c r="J182" s="24">
        <f>IFERROR(__xludf.DUMMYFUNCTION("""COMPUTED_VALUE"""),3.6183803557471864E7)</f>
        <v>36183803.56</v>
      </c>
      <c r="K182" s="3" t="str">
        <f>IFERROR(__xludf.DUMMYFUNCTION("""COMPUTED_VALUE"""),"MIS")</f>
        <v>MIS</v>
      </c>
      <c r="L182" s="24">
        <f>IFERROR(__xludf.DUMMYFUNCTION("""COMPUTED_VALUE"""),11691.072420055798)</f>
        <v>11691.07242</v>
      </c>
      <c r="M182" s="25">
        <f>IFERROR(__xludf.DUMMYFUNCTION("""COMPUTED_VALUE"""),0.4039002916051075)</f>
        <v>0.4039002916</v>
      </c>
      <c r="N182" s="23">
        <f>IFERROR(__xludf.DUMMYFUNCTION("""COMPUTED_VALUE"""),32.3120233284086)</f>
        <v>32.31202333</v>
      </c>
      <c r="O182" s="3"/>
      <c r="P182" s="3" t="str">
        <f>IFERROR(__xludf.DUMMYFUNCTION("""COMPUTED_VALUE"""),"active")</f>
        <v>active</v>
      </c>
      <c r="Q182" s="3" t="str">
        <f>IFERROR(__xludf.DUMMYFUNCTION("""COMPUTED_VALUE"""),"completed")</f>
        <v>completed</v>
      </c>
      <c r="R182" s="3" t="str">
        <f>IFERROR(__xludf.DUMMYFUNCTION("""COMPUTED_VALUE"""),"31-12-2013")</f>
        <v>31-12-2013</v>
      </c>
      <c r="S182" s="3">
        <f>IFERROR(__xludf.DUMMYFUNCTION("""COMPUTED_VALUE"""),7.0)</f>
        <v>7</v>
      </c>
      <c r="T182" s="3">
        <f>IFERROR(__xludf.DUMMYFUNCTION("""COMPUTED_VALUE"""),3.0)</f>
        <v>3</v>
      </c>
      <c r="U182" s="3">
        <f>IFERROR(__xludf.DUMMYFUNCTION("""COMPUTED_VALUE"""),98.0)</f>
        <v>98</v>
      </c>
      <c r="V182" s="3">
        <f>IFERROR(__xludf.DUMMYFUNCTION("""COMPUTED_VALUE"""),18.0)</f>
        <v>18</v>
      </c>
      <c r="W182" s="3" t="str">
        <f>IFERROR(__xludf.DUMMYFUNCTION("""COMPUTED_VALUE"""),"M&amp;T")</f>
        <v>M&amp;T</v>
      </c>
      <c r="X182" s="26" t="str">
        <f>IFERROR(__xludf.DUMMYFUNCTION("""COMPUTED_VALUE"""),"https://rijksictdashboard.nl/ict-activiteiten/7bec8d3e-7062-41fb-a2e3-bdc1edf7c518")</f>
        <v>https://rijksictdashboard.nl/ict-activiteiten/7bec8d3e-7062-41fb-a2e3-bdc1edf7c518</v>
      </c>
      <c r="Y182" s="3"/>
      <c r="Z182" s="3"/>
      <c r="AA182" s="3"/>
      <c r="AB182" s="3"/>
    </row>
    <row r="183" ht="12.75" customHeight="1">
      <c r="A183" s="3" t="str">
        <f>IFERROR(__xludf.DUMMYFUNCTION("""COMPUTED_VALUE"""),"JUS")</f>
        <v>JUS</v>
      </c>
      <c r="B183" s="3" t="str">
        <f>IFERROR(__xludf.DUMMYFUNCTION("""COMPUTED_VALUE"""),"Programma NoorderWint")</f>
        <v>Programma NoorderWint</v>
      </c>
      <c r="C183" s="3">
        <f>IFERROR(__xludf.DUMMYFUNCTION("""COMPUTED_VALUE"""),35.0)</f>
        <v>35</v>
      </c>
      <c r="D183" s="3">
        <f>IFERROR(__xludf.DUMMYFUNCTION("""COMPUTED_VALUE"""),95.0)</f>
        <v>95</v>
      </c>
      <c r="E183" s="3" t="str">
        <f>IFERROR(__xludf.DUMMYFUNCTION("""COMPUTED_VALUE"""),"2005-2010")</f>
        <v>2005-2010</v>
      </c>
      <c r="F183" s="3">
        <f>IFERROR(__xludf.DUMMYFUNCTION("""COMPUTED_VALUE"""),5.0)</f>
        <v>5</v>
      </c>
      <c r="G183" s="3">
        <f>IFERROR(__xludf.DUMMYFUNCTION("""COMPUTED_VALUE"""),33.25)</f>
        <v>33.25</v>
      </c>
      <c r="H183" s="3">
        <f>IFERROR(__xludf.DUMMYFUNCTION("""COMPUTED_VALUE"""),6.65)</f>
        <v>6.65</v>
      </c>
      <c r="I183" s="3">
        <f>IFERROR(__xludf.DUMMYFUNCTION("""COMPUTED_VALUE"""),33.25)</f>
        <v>33.25</v>
      </c>
      <c r="J183" s="24">
        <f>IFERROR(__xludf.DUMMYFUNCTION("""COMPUTED_VALUE"""),3.0077786707148485E7)</f>
        <v>30077786.71</v>
      </c>
      <c r="K183" s="3" t="str">
        <f>IFERROR(__xludf.DUMMYFUNCTION("""COMPUTED_VALUE"""),"MIS")</f>
        <v>MIS</v>
      </c>
      <c r="L183" s="24">
        <f>IFERROR(__xludf.DUMMYFUNCTION("""COMPUTED_VALUE"""),10295.592382906209)</f>
        <v>10295.59238</v>
      </c>
      <c r="M183" s="25">
        <f>IFERROR(__xludf.DUMMYFUNCTION("""COMPUTED_VALUE"""),0.3930785695841412)</f>
        <v>0.3930785696</v>
      </c>
      <c r="N183" s="23">
        <f>IFERROR(__xludf.DUMMYFUNCTION("""COMPUTED_VALUE"""),13.757749935444942)</f>
        <v>13.75774994</v>
      </c>
      <c r="O183" s="3"/>
      <c r="P183" s="3" t="str">
        <f>IFERROR(__xludf.DUMMYFUNCTION("""COMPUTED_VALUE"""),"active")</f>
        <v>active</v>
      </c>
      <c r="Q183" s="3" t="str">
        <f>IFERROR(__xludf.DUMMYFUNCTION("""COMPUTED_VALUE"""),"completed")</f>
        <v>completed</v>
      </c>
      <c r="R183" s="3" t="str">
        <f>IFERROR(__xludf.DUMMYFUNCTION("""COMPUTED_VALUE"""),"31-01-2011")</f>
        <v>31-01-2011</v>
      </c>
      <c r="S183" s="3">
        <f>IFERROR(__xludf.DUMMYFUNCTION("""COMPUTED_VALUE"""),6.0)</f>
        <v>6</v>
      </c>
      <c r="T183" s="3">
        <f>IFERROR(__xludf.DUMMYFUNCTION("""COMPUTED_VALUE"""),1.0)</f>
        <v>1</v>
      </c>
      <c r="U183" s="3">
        <f>IFERROR(__xludf.DUMMYFUNCTION("""COMPUTED_VALUE"""),55.0)</f>
        <v>55</v>
      </c>
      <c r="V183" s="3">
        <f>IFERROR(__xludf.DUMMYFUNCTION("""COMPUTED_VALUE"""),20.0)</f>
        <v>20</v>
      </c>
      <c r="W183" s="3" t="str">
        <f>IFERROR(__xludf.DUMMYFUNCTION("""COMPUTED_VALUE"""),"M&amp;T")</f>
        <v>M&amp;T</v>
      </c>
      <c r="X183" s="26" t="str">
        <f>IFERROR(__xludf.DUMMYFUNCTION("""COMPUTED_VALUE"""),"https://rijksictdashboard.nl/ict-activiteiten/6a20e4b6-c125-48c5-b5c7-3fa1f7356ea6")</f>
        <v>https://rijksictdashboard.nl/ict-activiteiten/6a20e4b6-c125-48c5-b5c7-3fa1f7356ea6</v>
      </c>
      <c r="Y183" s="3"/>
      <c r="Z183" s="3"/>
      <c r="AA183" s="3"/>
      <c r="AB183" s="3"/>
    </row>
    <row r="184" ht="12.75" customHeight="1">
      <c r="A184" s="3" t="str">
        <f>IFERROR(__xludf.DUMMYFUNCTION("""COMPUTED_VALUE"""),"DEF")</f>
        <v>DEF</v>
      </c>
      <c r="B184" s="3" t="str">
        <f>IFERROR(__xludf.DUMMYFUNCTION("""COMPUTED_VALUE"""),"PALS")</f>
        <v>PALS</v>
      </c>
      <c r="C184" s="3">
        <f>IFERROR(__xludf.DUMMYFUNCTION("""COMPUTED_VALUE"""),36.6)</f>
        <v>36.6</v>
      </c>
      <c r="D184" s="3">
        <f>IFERROR(__xludf.DUMMYFUNCTION("""COMPUTED_VALUE"""),82.0)</f>
        <v>82</v>
      </c>
      <c r="E184" s="3" t="str">
        <f>IFERROR(__xludf.DUMMYFUNCTION("""COMPUTED_VALUE"""),"2006-2011")</f>
        <v>2006-2011</v>
      </c>
      <c r="F184" s="3">
        <f>IFERROR(__xludf.DUMMYFUNCTION("""COMPUTED_VALUE"""),5.0)</f>
        <v>5</v>
      </c>
      <c r="G184" s="3">
        <f>IFERROR(__xludf.DUMMYFUNCTION("""COMPUTED_VALUE"""),30.012000000000004)</f>
        <v>30.012</v>
      </c>
      <c r="H184" s="3">
        <f>IFERROR(__xludf.DUMMYFUNCTION("""COMPUTED_VALUE"""),6.002400000000001)</f>
        <v>6.0024</v>
      </c>
      <c r="I184" s="3">
        <f>IFERROR(__xludf.DUMMYFUNCTION("""COMPUTED_VALUE"""),30.012000000000004)</f>
        <v>30.012</v>
      </c>
      <c r="J184" s="24">
        <f>IFERROR(__xludf.DUMMYFUNCTION("""COMPUTED_VALUE"""),2.714870780917114E7)</f>
        <v>27148707.81</v>
      </c>
      <c r="K184" s="3" t="str">
        <f>IFERROR(__xludf.DUMMYFUNCTION("""COMPUTED_VALUE"""),"MIS")</f>
        <v>MIS</v>
      </c>
      <c r="L184" s="24">
        <f>IFERROR(__xludf.DUMMYFUNCTION("""COMPUTED_VALUE"""),9595.101664768728)</f>
        <v>9595.101665</v>
      </c>
      <c r="M184" s="25">
        <f>IFERROR(__xludf.DUMMYFUNCTION("""COMPUTED_VALUE"""),0.38682315115901117)</f>
        <v>0.3868231512</v>
      </c>
      <c r="N184" s="23">
        <f>IFERROR(__xludf.DUMMYFUNCTION("""COMPUTED_VALUE"""),14.157727332419809)</f>
        <v>14.15772733</v>
      </c>
      <c r="O184" s="3"/>
      <c r="P184" s="3" t="str">
        <f>IFERROR(__xludf.DUMMYFUNCTION("""COMPUTED_VALUE"""),"active")</f>
        <v>active</v>
      </c>
      <c r="Q184" s="3" t="str">
        <f>IFERROR(__xludf.DUMMYFUNCTION("""COMPUTED_VALUE"""),"completed")</f>
        <v>completed</v>
      </c>
      <c r="R184" s="3" t="str">
        <f>IFERROR(__xludf.DUMMYFUNCTION("""COMPUTED_VALUE"""),"31-12-2015")</f>
        <v>31-12-2015</v>
      </c>
      <c r="S184" s="3">
        <f>IFERROR(__xludf.DUMMYFUNCTION("""COMPUTED_VALUE"""),9.0)</f>
        <v>9</v>
      </c>
      <c r="T184" s="3">
        <f>IFERROR(__xludf.DUMMYFUNCTION("""COMPUTED_VALUE"""),4.0)</f>
        <v>4</v>
      </c>
      <c r="U184" s="3">
        <f>IFERROR(__xludf.DUMMYFUNCTION("""COMPUTED_VALUE"""),29.0)</f>
        <v>29</v>
      </c>
      <c r="V184" s="3">
        <f>IFERROR(__xludf.DUMMYFUNCTION("""COMPUTED_VALUE"""),-7.600000000000001)</f>
        <v>-7.6</v>
      </c>
      <c r="W184" s="3" t="str">
        <f>IFERROR(__xludf.DUMMYFUNCTION("""COMPUTED_VALUE"""),"T")</f>
        <v>T</v>
      </c>
      <c r="X184" s="26" t="str">
        <f>IFERROR(__xludf.DUMMYFUNCTION("""COMPUTED_VALUE"""),"https://rijksictdashboard.nl/ict-activiteiten/2e6d6fb1-50c7-47bc-8d56-d5e0fe5d95d1")</f>
        <v>https://rijksictdashboard.nl/ict-activiteiten/2e6d6fb1-50c7-47bc-8d56-d5e0fe5d95d1</v>
      </c>
      <c r="Y184" s="3"/>
      <c r="Z184" s="3"/>
      <c r="AA184" s="3"/>
      <c r="AB184" s="3"/>
      <c r="AE184" s="8" t="b">
        <f>AND(ISNUMBER(V184), V184&gt;0)</f>
        <v>0</v>
      </c>
    </row>
    <row r="185" ht="12.75" customHeight="1">
      <c r="A185" s="3" t="str">
        <f>IFERROR(__xludf.DUMMYFUNCTION("""COMPUTED_VALUE"""),"SZW")</f>
        <v>SZW</v>
      </c>
      <c r="B185" s="3" t="str">
        <f>IFERROR(__xludf.DUMMYFUNCTION("""COMPUTED_VALUE"""),"SVB Tien (SVB)")</f>
        <v>SVB Tien (SVB)</v>
      </c>
      <c r="C185" s="3">
        <f>IFERROR(__xludf.DUMMYFUNCTION("""COMPUTED_VALUE"""),92.0)</f>
        <v>92</v>
      </c>
      <c r="D185" s="3">
        <f>IFERROR(__xludf.DUMMYFUNCTION("""COMPUTED_VALUE"""),30.0)</f>
        <v>30</v>
      </c>
      <c r="E185" s="3" t="str">
        <f>IFERROR(__xludf.DUMMYFUNCTION("""COMPUTED_VALUE"""),"2006-2010")</f>
        <v>2006-2010</v>
      </c>
      <c r="F185" s="3">
        <f>IFERROR(__xludf.DUMMYFUNCTION("""COMPUTED_VALUE"""),4.0)</f>
        <v>4</v>
      </c>
      <c r="G185" s="3">
        <f>IFERROR(__xludf.DUMMYFUNCTION("""COMPUTED_VALUE"""),27.6)</f>
        <v>27.6</v>
      </c>
      <c r="H185" s="3">
        <f>IFERROR(__xludf.DUMMYFUNCTION("""COMPUTED_VALUE"""),6.9)</f>
        <v>6.9</v>
      </c>
      <c r="I185" s="3">
        <f>IFERROR(__xludf.DUMMYFUNCTION("""COMPUTED_VALUE"""),27.6)</f>
        <v>27.6</v>
      </c>
      <c r="J185" s="24">
        <f>IFERROR(__xludf.DUMMYFUNCTION("""COMPUTED_VALUE"""),2.4966824454655584E7)</f>
        <v>24966824.45</v>
      </c>
      <c r="K185" s="3" t="str">
        <f>IFERROR(__xludf.DUMMYFUNCTION("""COMPUTED_VALUE"""),"MIS")</f>
        <v>MIS</v>
      </c>
      <c r="L185" s="24">
        <f>IFERROR(__xludf.DUMMYFUNCTION("""COMPUTED_VALUE"""),9057.866322397238)</f>
        <v>9057.866322</v>
      </c>
      <c r="M185" s="25">
        <f>IFERROR(__xludf.DUMMYFUNCTION("""COMPUTED_VALUE"""),0.3815836334717935)</f>
        <v>0.3815836335</v>
      </c>
      <c r="N185" s="23">
        <f>IFERROR(__xludf.DUMMYFUNCTION("""COMPUTED_VALUE"""),35.10569427940501)</f>
        <v>35.10569428</v>
      </c>
      <c r="O185" s="3"/>
      <c r="P185" s="3" t="str">
        <f>IFERROR(__xludf.DUMMYFUNCTION("""COMPUTED_VALUE"""),"cancelled")</f>
        <v>cancelled</v>
      </c>
      <c r="Q185" s="3" t="str">
        <f>IFERROR(__xludf.DUMMYFUNCTION("""COMPUTED_VALUE"""),"cancelled")</f>
        <v>cancelled</v>
      </c>
      <c r="R185" s="27">
        <f>IFERROR(__xludf.DUMMYFUNCTION("""COMPUTED_VALUE"""),41679.0)</f>
        <v>41679</v>
      </c>
      <c r="S185" s="3">
        <f>IFERROR(__xludf.DUMMYFUNCTION("""COMPUTED_VALUE"""),8.0)</f>
        <v>8</v>
      </c>
      <c r="T185" s="3">
        <f>IFERROR(__xludf.DUMMYFUNCTION("""COMPUTED_VALUE"""),4.0)</f>
        <v>4</v>
      </c>
      <c r="U185" s="3">
        <f>IFERROR(__xludf.DUMMYFUNCTION("""COMPUTED_VALUE"""),121.8)</f>
        <v>121.8</v>
      </c>
      <c r="V185" s="3">
        <f>IFERROR(__xludf.DUMMYFUNCTION("""COMPUTED_VALUE"""),29.799999999999997)</f>
        <v>29.8</v>
      </c>
      <c r="W185" s="3" t="str">
        <f>IFERROR(__xludf.DUMMYFUNCTION("""COMPUTED_VALUE"""),"M&amp;T")</f>
        <v>M&amp;T</v>
      </c>
      <c r="X185" s="26" t="str">
        <f>IFERROR(__xludf.DUMMYFUNCTION("""COMPUTED_VALUE"""),"https://rijksictdashboard.nl/ict-activiteiten/09b1ce9a-294f-48db-96b9-bf5cb79305cc")</f>
        <v>https://rijksictdashboard.nl/ict-activiteiten/09b1ce9a-294f-48db-96b9-bf5cb79305cc</v>
      </c>
      <c r="Y185" s="3"/>
      <c r="Z185" s="3"/>
      <c r="AA185" s="3"/>
      <c r="AB185" s="3"/>
    </row>
    <row r="186" ht="12.75" customHeight="1">
      <c r="A186" s="3" t="str">
        <f>IFERROR(__xludf.DUMMYFUNCTION("""COMPUTED_VALUE"""),"FIN")</f>
        <v>FIN</v>
      </c>
      <c r="B186" s="3" t="str">
        <f>IFERROR(__xludf.DUMMYFUNCTION("""COMPUTED_VALUE"""),"eCustoms")</f>
        <v>eCustoms</v>
      </c>
      <c r="C186" s="3">
        <f>IFERROR(__xludf.DUMMYFUNCTION("""COMPUTED_VALUE"""),47.6)</f>
        <v>47.6</v>
      </c>
      <c r="D186" s="3">
        <f>IFERROR(__xludf.DUMMYFUNCTION("""COMPUTED_VALUE"""),55.0)</f>
        <v>55</v>
      </c>
      <c r="E186" s="3" t="str">
        <f>IFERROR(__xludf.DUMMYFUNCTION("""COMPUTED_VALUE"""),"2005-2012")</f>
        <v>2005-2012</v>
      </c>
      <c r="F186" s="3">
        <f>IFERROR(__xludf.DUMMYFUNCTION("""COMPUTED_VALUE"""),7.0)</f>
        <v>7</v>
      </c>
      <c r="G186" s="3">
        <f>IFERROR(__xludf.DUMMYFUNCTION("""COMPUTED_VALUE"""),26.18)</f>
        <v>26.18</v>
      </c>
      <c r="H186" s="3">
        <f>IFERROR(__xludf.DUMMYFUNCTION("""COMPUTED_VALUE"""),3.7399999999999998)</f>
        <v>3.74</v>
      </c>
      <c r="I186" s="3">
        <f>IFERROR(__xludf.DUMMYFUNCTION("""COMPUTED_VALUE"""),26.18)</f>
        <v>26.18</v>
      </c>
      <c r="J186" s="24">
        <f>IFERROR(__xludf.DUMMYFUNCTION("""COMPUTED_VALUE"""),2.368229942836533E7)</f>
        <v>23682299.43</v>
      </c>
      <c r="K186" s="3" t="str">
        <f>IFERROR(__xludf.DUMMYFUNCTION("""COMPUTED_VALUE"""),"MIS")</f>
        <v>MIS</v>
      </c>
      <c r="L186" s="24">
        <f>IFERROR(__xludf.DUMMYFUNCTION("""COMPUTED_VALUE"""),8734.735282885194)</f>
        <v>8734.735283</v>
      </c>
      <c r="M186" s="25">
        <f>IFERROR(__xludf.DUMMYFUNCTION("""COMPUTED_VALUE"""),0.37822650228387544)</f>
        <v>0.3782265023</v>
      </c>
      <c r="N186" s="23">
        <f>IFERROR(__xludf.DUMMYFUNCTION("""COMPUTED_VALUE"""),18.00358150871247)</f>
        <v>18.00358151</v>
      </c>
      <c r="O186" s="3"/>
      <c r="P186" s="3" t="str">
        <f>IFERROR(__xludf.DUMMYFUNCTION("""COMPUTED_VALUE"""),"active")</f>
        <v>active</v>
      </c>
      <c r="Q186" s="3" t="str">
        <f>IFERROR(__xludf.DUMMYFUNCTION("""COMPUTED_VALUE"""),"completed")</f>
        <v>completed</v>
      </c>
      <c r="R186" s="3" t="str">
        <f>IFERROR(__xludf.DUMMYFUNCTION("""COMPUTED_VALUE"""),"31-12-2010")</f>
        <v>31-12-2010</v>
      </c>
      <c r="S186" s="3">
        <f>IFERROR(__xludf.DUMMYFUNCTION("""COMPUTED_VALUE"""),5.0)</f>
        <v>5</v>
      </c>
      <c r="T186" s="3">
        <f>IFERROR(__xludf.DUMMYFUNCTION("""COMPUTED_VALUE"""),-2.0)</f>
        <v>-2</v>
      </c>
      <c r="U186" s="3">
        <f>IFERROR(__xludf.DUMMYFUNCTION("""COMPUTED_VALUE"""),65.28)</f>
        <v>65.28</v>
      </c>
      <c r="V186" s="3">
        <f>IFERROR(__xludf.DUMMYFUNCTION("""COMPUTED_VALUE"""),17.68)</f>
        <v>17.68</v>
      </c>
      <c r="W186" s="3" t="str">
        <f>IFERROR(__xludf.DUMMYFUNCTION("""COMPUTED_VALUE"""),"M")</f>
        <v>M</v>
      </c>
      <c r="X186" s="26" t="str">
        <f>IFERROR(__xludf.DUMMYFUNCTION("""COMPUTED_VALUE"""),"https://rijksictdashboard.nl/ict-activiteiten/ce9d570c-f711-4bb1-953b-01a62f444c03")</f>
        <v>https://rijksictdashboard.nl/ict-activiteiten/ce9d570c-f711-4bb1-953b-01a62f444c03</v>
      </c>
      <c r="Y186" s="3"/>
      <c r="Z186" s="3"/>
      <c r="AA186" s="3"/>
      <c r="AB186" s="3"/>
    </row>
    <row r="187" ht="12.75" customHeight="1">
      <c r="A187" s="3" t="str">
        <f>IFERROR(__xludf.DUMMYFUNCTION("""COMPUTED_VALUE"""),"FIN")</f>
        <v>FIN</v>
      </c>
      <c r="B187" s="3" t="str">
        <f>IFERROR(__xludf.DUMMYFUNCTION("""COMPUTED_VALUE"""),"Vooringevulde aangifte (VIA)")</f>
        <v>Vooringevulde aangifte (VIA)</v>
      </c>
      <c r="C187" s="3">
        <f>IFERROR(__xludf.DUMMYFUNCTION("""COMPUTED_VALUE"""),45.0)</f>
        <v>45</v>
      </c>
      <c r="D187" s="3">
        <f>IFERROR(__xludf.DUMMYFUNCTION("""COMPUTED_VALUE"""),55.0)</f>
        <v>55</v>
      </c>
      <c r="E187" s="3" t="str">
        <f>IFERROR(__xludf.DUMMYFUNCTION("""COMPUTED_VALUE"""),"2006-2008")</f>
        <v>2006-2008</v>
      </c>
      <c r="F187" s="3">
        <f>IFERROR(__xludf.DUMMYFUNCTION("""COMPUTED_VALUE"""),2.0)</f>
        <v>2</v>
      </c>
      <c r="G187" s="3">
        <f>IFERROR(__xludf.DUMMYFUNCTION("""COMPUTED_VALUE"""),24.75)</f>
        <v>24.75</v>
      </c>
      <c r="H187" s="3">
        <f>IFERROR(__xludf.DUMMYFUNCTION("""COMPUTED_VALUE"""),12.375)</f>
        <v>12.375</v>
      </c>
      <c r="I187" s="3">
        <f>IFERROR(__xludf.DUMMYFUNCTION("""COMPUTED_VALUE"""),24.75)</f>
        <v>24.75</v>
      </c>
      <c r="J187" s="24">
        <f>IFERROR(__xludf.DUMMYFUNCTION("""COMPUTED_VALUE"""),2.2388728451185714E7)</f>
        <v>22388728.45</v>
      </c>
      <c r="K187" s="3" t="str">
        <f>IFERROR(__xludf.DUMMYFUNCTION("""COMPUTED_VALUE"""),"MIS")</f>
        <v>MIS</v>
      </c>
      <c r="L187" s="24">
        <f>IFERROR(__xludf.DUMMYFUNCTION("""COMPUTED_VALUE"""),8403.7464473733)</f>
        <v>8403.746447</v>
      </c>
      <c r="M187" s="25">
        <f>IFERROR(__xludf.DUMMYFUNCTION("""COMPUTED_VALUE"""),0.3746132547458432)</f>
        <v>0.3746132547</v>
      </c>
      <c r="N187" s="23">
        <f>IFERROR(__xludf.DUMMYFUNCTION("""COMPUTED_VALUE"""),16.857596463562945)</f>
        <v>16.85759646</v>
      </c>
      <c r="O187" s="3"/>
      <c r="P187" s="3" t="str">
        <f>IFERROR(__xludf.DUMMYFUNCTION("""COMPUTED_VALUE"""),"active")</f>
        <v>active</v>
      </c>
      <c r="Q187" s="3" t="str">
        <f>IFERROR(__xludf.DUMMYFUNCTION("""COMPUTED_VALUE"""),"completed")</f>
        <v>completed</v>
      </c>
      <c r="R187" s="27">
        <f>IFERROR(__xludf.DUMMYFUNCTION("""COMPUTED_VALUE"""),41030.0)</f>
        <v>41030</v>
      </c>
      <c r="S187" s="3">
        <f>IFERROR(__xludf.DUMMYFUNCTION("""COMPUTED_VALUE"""),6.0)</f>
        <v>6</v>
      </c>
      <c r="T187" s="3">
        <f>IFERROR(__xludf.DUMMYFUNCTION("""COMPUTED_VALUE"""),4.0)</f>
        <v>4</v>
      </c>
      <c r="U187" s="3">
        <f>IFERROR(__xludf.DUMMYFUNCTION("""COMPUTED_VALUE"""),53.26)</f>
        <v>53.26</v>
      </c>
      <c r="V187" s="3">
        <f>IFERROR(__xludf.DUMMYFUNCTION("""COMPUTED_VALUE"""),8.259999999999998)</f>
        <v>8.26</v>
      </c>
      <c r="W187" s="3" t="str">
        <f>IFERROR(__xludf.DUMMYFUNCTION("""COMPUTED_VALUE"""),"M&amp;T")</f>
        <v>M&amp;T</v>
      </c>
      <c r="X187" s="26" t="str">
        <f>IFERROR(__xludf.DUMMYFUNCTION("""COMPUTED_VALUE"""),"https://rijksictdashboard.nl/ict-activiteiten/f5a8b162-363e-480a-8d0f-e21c0eedae65")</f>
        <v>https://rijksictdashboard.nl/ict-activiteiten/f5a8b162-363e-480a-8d0f-e21c0eedae65</v>
      </c>
      <c r="Y187" s="3"/>
      <c r="Z187" s="3"/>
      <c r="AA187" s="3"/>
      <c r="AB187" s="3"/>
    </row>
    <row r="188" ht="12.75" customHeight="1">
      <c r="A188" s="3" t="str">
        <f>IFERROR(__xludf.DUMMYFUNCTION("""COMPUTED_VALUE"""),"JUS")</f>
        <v>JUS</v>
      </c>
      <c r="B188" s="3" t="str">
        <f>IFERROR(__xludf.DUMMYFUNCTION("""COMPUTED_VALUE"""),"GPS")</f>
        <v>GPS</v>
      </c>
      <c r="C188" s="3">
        <f>IFERROR(__xludf.DUMMYFUNCTION("""COMPUTED_VALUE"""),90.0)</f>
        <v>90</v>
      </c>
      <c r="D188" s="3">
        <f>IFERROR(__xludf.DUMMYFUNCTION("""COMPUTED_VALUE"""),25.0)</f>
        <v>25</v>
      </c>
      <c r="E188" s="3" t="str">
        <f>IFERROR(__xludf.DUMMYFUNCTION("""COMPUTED_VALUE"""),"2000-2010")</f>
        <v>2000-2010</v>
      </c>
      <c r="F188" s="3">
        <f>IFERROR(__xludf.DUMMYFUNCTION("""COMPUTED_VALUE"""),10.0)</f>
        <v>10</v>
      </c>
      <c r="G188" s="3">
        <f>IFERROR(__xludf.DUMMYFUNCTION("""COMPUTED_VALUE"""),22.5)</f>
        <v>22.5</v>
      </c>
      <c r="H188" s="3">
        <f>IFERROR(__xludf.DUMMYFUNCTION("""COMPUTED_VALUE"""),2.25)</f>
        <v>2.25</v>
      </c>
      <c r="I188" s="3">
        <f>IFERROR(__xludf.DUMMYFUNCTION("""COMPUTED_VALUE"""),22.5)</f>
        <v>22.5</v>
      </c>
      <c r="J188" s="24">
        <f>IFERROR(__xludf.DUMMYFUNCTION("""COMPUTED_VALUE"""),2.035338950107792E7)</f>
        <v>20353389.5</v>
      </c>
      <c r="K188" s="3" t="str">
        <f>IFERROR(__xludf.DUMMYFUNCTION("""COMPUTED_VALUE"""),"MIS")</f>
        <v>MIS</v>
      </c>
      <c r="L188" s="24">
        <f>IFERROR(__xludf.DUMMYFUNCTION("""COMPUTED_VALUE"""),7870.565113232892)</f>
        <v>7870.565113</v>
      </c>
      <c r="M188" s="25">
        <f>IFERROR(__xludf.DUMMYFUNCTION("""COMPUTED_VALUE"""),0.36838689231766764)</f>
        <v>0.3683868923</v>
      </c>
      <c r="N188" s="23">
        <f>IFERROR(__xludf.DUMMYFUNCTION("""COMPUTED_VALUE"""),33.15482030859009)</f>
        <v>33.15482031</v>
      </c>
      <c r="O188" s="3"/>
      <c r="P188" s="3" t="str">
        <f>IFERROR(__xludf.DUMMYFUNCTION("""COMPUTED_VALUE"""),"active")</f>
        <v>active</v>
      </c>
      <c r="Q188" s="3" t="str">
        <f>IFERROR(__xludf.DUMMYFUNCTION("""COMPUTED_VALUE"""),"completed")</f>
        <v>completed</v>
      </c>
      <c r="R188" s="3" t="str">
        <f>IFERROR(__xludf.DUMMYFUNCTION("""COMPUTED_VALUE"""),"31-12-2011")</f>
        <v>31-12-2011</v>
      </c>
      <c r="S188" s="3">
        <f>IFERROR(__xludf.DUMMYFUNCTION("""COMPUTED_VALUE"""),11.0)</f>
        <v>11</v>
      </c>
      <c r="T188" s="3">
        <f>IFERROR(__xludf.DUMMYFUNCTION("""COMPUTED_VALUE"""),1.0)</f>
        <v>1</v>
      </c>
      <c r="U188" s="3">
        <f>IFERROR(__xludf.DUMMYFUNCTION("""COMPUTED_VALUE"""),99.4)</f>
        <v>99.4</v>
      </c>
      <c r="V188" s="3">
        <f>IFERROR(__xludf.DUMMYFUNCTION("""COMPUTED_VALUE"""),9.400000000000006)</f>
        <v>9.4</v>
      </c>
      <c r="W188" s="3" t="str">
        <f>IFERROR(__xludf.DUMMYFUNCTION("""COMPUTED_VALUE"""),"M&amp;T")</f>
        <v>M&amp;T</v>
      </c>
      <c r="X188" s="26" t="str">
        <f>IFERROR(__xludf.DUMMYFUNCTION("""COMPUTED_VALUE"""),"https://rijksictdashboard.nl/ict-activiteiten/132afe97-ad4f-49fc-b789-f3010c85c893")</f>
        <v>https://rijksictdashboard.nl/ict-activiteiten/132afe97-ad4f-49fc-b789-f3010c85c893</v>
      </c>
      <c r="Y188" s="3"/>
      <c r="Z188" s="3"/>
      <c r="AA188" s="3"/>
      <c r="AB188" s="3"/>
    </row>
    <row r="189" ht="12.75" customHeight="1">
      <c r="A189" s="3" t="str">
        <f>IFERROR(__xludf.DUMMYFUNCTION("""COMPUTED_VALUE"""),"VWS")</f>
        <v>VWS</v>
      </c>
      <c r="B189" s="3" t="str">
        <f>IFERROR(__xludf.DUMMYFUNCTION("""COMPUTED_VALUE"""),"Programma Stroomlijning indicatieprocessen in Zorg en Sociale Zekerheid(renamed to Programma Stroomlijning Indicatieprocessen (STIP))")</f>
        <v>Programma Stroomlijning indicatieprocessen in Zorg en Sociale Zekerheid(renamed to Programma Stroomlijning Indicatieprocessen (STIP))</v>
      </c>
      <c r="C189" s="3">
        <f>IFERROR(__xludf.DUMMYFUNCTION("""COMPUTED_VALUE"""),25.0)</f>
        <v>25</v>
      </c>
      <c r="D189" s="3">
        <f>IFERROR(__xludf.DUMMYFUNCTION("""COMPUTED_VALUE"""),80.0)</f>
        <v>80</v>
      </c>
      <c r="E189" s="3" t="str">
        <f>IFERROR(__xludf.DUMMYFUNCTION("""COMPUTED_VALUE"""),"2006-2011")</f>
        <v>2006-2011</v>
      </c>
      <c r="F189" s="3">
        <f>IFERROR(__xludf.DUMMYFUNCTION("""COMPUTED_VALUE"""),5.0)</f>
        <v>5</v>
      </c>
      <c r="G189" s="3">
        <f>IFERROR(__xludf.DUMMYFUNCTION("""COMPUTED_VALUE"""),20.0)</f>
        <v>20</v>
      </c>
      <c r="H189" s="3">
        <f>IFERROR(__xludf.DUMMYFUNCTION("""COMPUTED_VALUE"""),4.0)</f>
        <v>4</v>
      </c>
      <c r="I189" s="3">
        <f>IFERROR(__xludf.DUMMYFUNCTION("""COMPUTED_VALUE"""),20.0)</f>
        <v>20</v>
      </c>
      <c r="J189" s="24">
        <f>IFERROR(__xludf.DUMMYFUNCTION("""COMPUTED_VALUE"""),1.8091901778735932E7)</f>
        <v>18091901.78</v>
      </c>
      <c r="K189" s="3" t="str">
        <f>IFERROR(__xludf.DUMMYFUNCTION("""COMPUTED_VALUE"""),"MIS")</f>
        <v>MIS</v>
      </c>
      <c r="L189" s="24">
        <f>IFERROR(__xludf.DUMMYFUNCTION("""COMPUTED_VALUE"""),7258.163566126017)</f>
        <v>7258.163566</v>
      </c>
      <c r="M189" s="25">
        <f>IFERROR(__xludf.DUMMYFUNCTION("""COMPUTED_VALUE"""),0.3605416715669651)</f>
        <v>0.3605416716</v>
      </c>
      <c r="N189" s="23">
        <f>IFERROR(__xludf.DUMMYFUNCTION("""COMPUTED_VALUE"""),9.013541789174127)</f>
        <v>9.013541789</v>
      </c>
      <c r="O189" s="3"/>
      <c r="P189" s="3" t="str">
        <f>IFERROR(__xludf.DUMMYFUNCTION("""COMPUTED_VALUE"""),"completed")</f>
        <v>completed</v>
      </c>
      <c r="Q189" s="3" t="str">
        <f>IFERROR(__xludf.DUMMYFUNCTION("""COMPUTED_VALUE"""),"completed")</f>
        <v>completed</v>
      </c>
      <c r="R189" s="27">
        <f>IFERROR(__xludf.DUMMYFUNCTION("""COMPUTED_VALUE"""),39822.0)</f>
        <v>39822</v>
      </c>
      <c r="S189" s="3">
        <f>IFERROR(__xludf.DUMMYFUNCTION("""COMPUTED_VALUE"""),3.0)</f>
        <v>3</v>
      </c>
      <c r="T189" s="3">
        <f>IFERROR(__xludf.DUMMYFUNCTION("""COMPUTED_VALUE"""),-2.0)</f>
        <v>-2</v>
      </c>
      <c r="U189" s="3">
        <f>IFERROR(__xludf.DUMMYFUNCTION("""COMPUTED_VALUE"""),4.72)</f>
        <v>4.72</v>
      </c>
      <c r="V189" s="3">
        <f>IFERROR(__xludf.DUMMYFUNCTION("""COMPUTED_VALUE"""),-20.28)</f>
        <v>-20.28</v>
      </c>
      <c r="W189" s="3"/>
      <c r="X189" s="26" t="str">
        <f>IFERROR(__xludf.DUMMYFUNCTION("""COMPUTED_VALUE"""),"https://rijksictdashboard.nl/ict-activiteiten/baa114a3-4559-407f-ba15-c4a30c800442")</f>
        <v>https://rijksictdashboard.nl/ict-activiteiten/baa114a3-4559-407f-ba15-c4a30c800442</v>
      </c>
      <c r="Y189" s="3"/>
      <c r="Z189" s="3"/>
      <c r="AA189" s="3"/>
      <c r="AB189" s="3"/>
    </row>
    <row r="190" ht="12.75" customHeight="1">
      <c r="A190" s="3" t="str">
        <f>IFERROR(__xludf.DUMMYFUNCTION("""COMPUTED_VALUE"""),"BZK")</f>
        <v>BZK</v>
      </c>
      <c r="B190" s="3" t="str">
        <f>IFERROR(__xludf.DUMMYFUNCTION("""COMPUTED_VALUE"""),"Nationaal Schengen Informatiesysteem (NSIS-II)(renamed to NL-SIS-II (Nederlands Schengen Informatiesysteem))")</f>
        <v>Nationaal Schengen Informatiesysteem (NSIS-II)(renamed to NL-SIS-II (Nederlands Schengen Informatiesysteem))</v>
      </c>
      <c r="C190" s="3">
        <f>IFERROR(__xludf.DUMMYFUNCTION("""COMPUTED_VALUE"""),17.5)</f>
        <v>17.5</v>
      </c>
      <c r="D190" s="3">
        <f>IFERROR(__xludf.DUMMYFUNCTION("""COMPUTED_VALUE"""),100.0)</f>
        <v>100</v>
      </c>
      <c r="E190" s="3" t="str">
        <f>IFERROR(__xludf.DUMMYFUNCTION("""COMPUTED_VALUE"""),"2005-2008")</f>
        <v>2005-2008</v>
      </c>
      <c r="F190" s="3">
        <f>IFERROR(__xludf.DUMMYFUNCTION("""COMPUTED_VALUE"""),3.0)</f>
        <v>3</v>
      </c>
      <c r="G190" s="3">
        <f>IFERROR(__xludf.DUMMYFUNCTION("""COMPUTED_VALUE"""),17.5)</f>
        <v>17.5</v>
      </c>
      <c r="H190" s="3">
        <f>IFERROR(__xludf.DUMMYFUNCTION("""COMPUTED_VALUE"""),5.833333333333333)</f>
        <v>5.833333333</v>
      </c>
      <c r="I190" s="3">
        <f>IFERROR(__xludf.DUMMYFUNCTION("""COMPUTED_VALUE"""),17.5)</f>
        <v>17.5</v>
      </c>
      <c r="J190" s="24">
        <f>IFERROR(__xludf.DUMMYFUNCTION("""COMPUTED_VALUE"""),1.583041405639394E7)</f>
        <v>15830414.06</v>
      </c>
      <c r="K190" s="3" t="str">
        <f>IFERROR(__xludf.DUMMYFUNCTION("""COMPUTED_VALUE"""),"MIS")</f>
        <v>MIS</v>
      </c>
      <c r="L190" s="24">
        <f>IFERROR(__xludf.DUMMYFUNCTION("""COMPUTED_VALUE"""),6621.309718403993)</f>
        <v>6621.309718</v>
      </c>
      <c r="M190" s="25">
        <f>IFERROR(__xludf.DUMMYFUNCTION("""COMPUTED_VALUE"""),0.3514721143741221)</f>
        <v>0.3514721144</v>
      </c>
      <c r="N190" s="23">
        <f>IFERROR(__xludf.DUMMYFUNCTION("""COMPUTED_VALUE"""),6.150762001547137)</f>
        <v>6.150762002</v>
      </c>
      <c r="O190" s="3"/>
      <c r="P190" s="3" t="str">
        <f>IFERROR(__xludf.DUMMYFUNCTION("""COMPUTED_VALUE"""),"active")</f>
        <v>active</v>
      </c>
      <c r="Q190" s="3" t="str">
        <f>IFERROR(__xludf.DUMMYFUNCTION("""COMPUTED_VALUE"""),"completed")</f>
        <v>completed</v>
      </c>
      <c r="R190" s="3" t="str">
        <f>IFERROR(__xludf.DUMMYFUNCTION("""COMPUTED_VALUE"""),"31-12-2013")</f>
        <v>31-12-2013</v>
      </c>
      <c r="S190" s="3">
        <f>IFERROR(__xludf.DUMMYFUNCTION("""COMPUTED_VALUE"""),8.0)</f>
        <v>8</v>
      </c>
      <c r="T190" s="3">
        <f>IFERROR(__xludf.DUMMYFUNCTION("""COMPUTED_VALUE"""),5.0)</f>
        <v>5</v>
      </c>
      <c r="U190" s="3">
        <f>IFERROR(__xludf.DUMMYFUNCTION("""COMPUTED_VALUE"""),22.8)</f>
        <v>22.8</v>
      </c>
      <c r="V190" s="3">
        <f>IFERROR(__xludf.DUMMYFUNCTION("""COMPUTED_VALUE"""),5.300000000000001)</f>
        <v>5.3</v>
      </c>
      <c r="W190" s="3" t="str">
        <f>IFERROR(__xludf.DUMMYFUNCTION("""COMPUTED_VALUE"""),"M&amp;T")</f>
        <v>M&amp;T</v>
      </c>
      <c r="X190" s="26" t="str">
        <f>IFERROR(__xludf.DUMMYFUNCTION("""COMPUTED_VALUE"""),"https://rijksictdashboard.nl/ict-activiteiten/1c2220dc-caea-45a3-8004-bfc173e3947f")</f>
        <v>https://rijksictdashboard.nl/ict-activiteiten/1c2220dc-caea-45a3-8004-bfc173e3947f</v>
      </c>
      <c r="Y190" s="3"/>
      <c r="Z190" s="3"/>
      <c r="AA190" s="3"/>
      <c r="AB190" s="3"/>
    </row>
    <row r="191" ht="12.75" customHeight="1">
      <c r="A191" s="3" t="str">
        <f>IFERROR(__xludf.DUMMYFUNCTION("""COMPUTED_VALUE"""),"SZW")</f>
        <v>SZW</v>
      </c>
      <c r="B191" s="3" t="str">
        <f>IFERROR(__xludf.DUMMYFUNCTION("""COMPUTED_VALUE"""),"Killen en Migreren (UWV)")</f>
        <v>Killen en Migreren (UWV)</v>
      </c>
      <c r="C191" s="3">
        <f>IFERROR(__xludf.DUMMYFUNCTION("""COMPUTED_VALUE"""),11.0)</f>
        <v>11</v>
      </c>
      <c r="D191" s="3">
        <f>IFERROR(__xludf.DUMMYFUNCTION("""COMPUTED_VALUE"""),100.0)</f>
        <v>100</v>
      </c>
      <c r="E191" s="3" t="str">
        <f>IFERROR(__xludf.DUMMYFUNCTION("""COMPUTED_VALUE"""),"2006-2009")</f>
        <v>2006-2009</v>
      </c>
      <c r="F191" s="3">
        <f>IFERROR(__xludf.DUMMYFUNCTION("""COMPUTED_VALUE"""),3.0)</f>
        <v>3</v>
      </c>
      <c r="G191" s="3">
        <f>IFERROR(__xludf.DUMMYFUNCTION("""COMPUTED_VALUE"""),11.0)</f>
        <v>11</v>
      </c>
      <c r="H191" s="3">
        <f>IFERROR(__xludf.DUMMYFUNCTION("""COMPUTED_VALUE"""),3.6666666666666665)</f>
        <v>3.666666667</v>
      </c>
      <c r="I191" s="3">
        <f>IFERROR(__xludf.DUMMYFUNCTION("""COMPUTED_VALUE"""),11.0)</f>
        <v>11</v>
      </c>
      <c r="J191" s="24">
        <f>IFERROR(__xludf.DUMMYFUNCTION("""COMPUTED_VALUE"""),9950545.978304762)</f>
        <v>9950545.978</v>
      </c>
      <c r="K191" s="3" t="str">
        <f>IFERROR(__xludf.DUMMYFUNCTION("""COMPUTED_VALUE"""),"MIS")</f>
        <v>MIS</v>
      </c>
      <c r="L191" s="24">
        <f>IFERROR(__xludf.DUMMYFUNCTION("""COMPUTED_VALUE"""),4811.341415097391)</f>
        <v>4811.341415</v>
      </c>
      <c r="M191" s="25">
        <f>IFERROR(__xludf.DUMMYFUNCTION("""COMPUTED_VALUE"""),0.31893318164993284)</f>
        <v>0.3189331816</v>
      </c>
      <c r="N191" s="23">
        <f>IFERROR(__xludf.DUMMYFUNCTION("""COMPUTED_VALUE"""),3.5082649981492606)</f>
        <v>3.508264998</v>
      </c>
      <c r="O191" s="3"/>
      <c r="P191" s="3" t="str">
        <f>IFERROR(__xludf.DUMMYFUNCTION("""COMPUTED_VALUE"""),"active")</f>
        <v>active</v>
      </c>
      <c r="Q191" s="3" t="str">
        <f>IFERROR(__xludf.DUMMYFUNCTION("""COMPUTED_VALUE"""),"completed")</f>
        <v>completed</v>
      </c>
      <c r="R191" s="3" t="str">
        <f>IFERROR(__xludf.DUMMYFUNCTION("""COMPUTED_VALUE"""),"31-12-2011")</f>
        <v>31-12-2011</v>
      </c>
      <c r="S191" s="3">
        <f>IFERROR(__xludf.DUMMYFUNCTION("""COMPUTED_VALUE"""),5.0)</f>
        <v>5</v>
      </c>
      <c r="T191" s="3">
        <f>IFERROR(__xludf.DUMMYFUNCTION("""COMPUTED_VALUE"""),2.0)</f>
        <v>2</v>
      </c>
      <c r="U191" s="3">
        <f>IFERROR(__xludf.DUMMYFUNCTION("""COMPUTED_VALUE"""),111.0)</f>
        <v>111</v>
      </c>
      <c r="V191" s="3">
        <f>IFERROR(__xludf.DUMMYFUNCTION("""COMPUTED_VALUE"""),100.0)</f>
        <v>100</v>
      </c>
      <c r="W191" s="3" t="str">
        <f>IFERROR(__xludf.DUMMYFUNCTION("""COMPUTED_VALUE"""),"M&amp;T")</f>
        <v>M&amp;T</v>
      </c>
      <c r="X191" s="26" t="str">
        <f>IFERROR(__xludf.DUMMYFUNCTION("""COMPUTED_VALUE"""),"https://rijksictdashboard.nl/ict-activiteiten/715d29e9-380c-430a-92b5-ef9848b7fde9")</f>
        <v>https://rijksictdashboard.nl/ict-activiteiten/715d29e9-380c-430a-92b5-ef9848b7fde9</v>
      </c>
      <c r="Y191" s="3"/>
      <c r="Z191" s="3"/>
      <c r="AA191" s="3"/>
      <c r="AB191" s="3"/>
    </row>
    <row r="192" ht="12.75" customHeight="1">
      <c r="A192" s="3" t="str">
        <f>IFERROR(__xludf.DUMMYFUNCTION("""COMPUTED_VALUE"""),"DEF")</f>
        <v>DEF</v>
      </c>
      <c r="B192" s="3" t="str">
        <f>IFERROR(__xludf.DUMMYFUNCTION("""COMPUTED_VALUE"""),"Herinrichting Personele Functiegebied")</f>
        <v>Herinrichting Personele Functiegebied</v>
      </c>
      <c r="C192" s="3">
        <f>IFERROR(__xludf.DUMMYFUNCTION("""COMPUTED_VALUE"""),36.1)</f>
        <v>36.1</v>
      </c>
      <c r="D192" s="3">
        <f>IFERROR(__xludf.DUMMYFUNCTION("""COMPUTED_VALUE"""),22.0)</f>
        <v>22</v>
      </c>
      <c r="E192" s="3" t="str">
        <f>IFERROR(__xludf.DUMMYFUNCTION("""COMPUTED_VALUE"""),"2004-2009")</f>
        <v>2004-2009</v>
      </c>
      <c r="F192" s="3">
        <f>IFERROR(__xludf.DUMMYFUNCTION("""COMPUTED_VALUE"""),5.0)</f>
        <v>5</v>
      </c>
      <c r="G192" s="3">
        <f>IFERROR(__xludf.DUMMYFUNCTION("""COMPUTED_VALUE"""),7.942)</f>
        <v>7.942</v>
      </c>
      <c r="H192" s="3">
        <f>IFERROR(__xludf.DUMMYFUNCTION("""COMPUTED_VALUE"""),1.5884)</f>
        <v>1.5884</v>
      </c>
      <c r="I192" s="3">
        <f>IFERROR(__xludf.DUMMYFUNCTION("""COMPUTED_VALUE"""),7.942)</f>
        <v>7.942</v>
      </c>
      <c r="J192" s="24">
        <f>IFERROR(__xludf.DUMMYFUNCTION("""COMPUTED_VALUE"""),7184294.1963360375)</f>
        <v>7184294.196</v>
      </c>
      <c r="K192" s="3" t="str">
        <f>IFERROR(__xludf.DUMMYFUNCTION("""COMPUTED_VALUE"""),"MIS")</f>
        <v>MIS</v>
      </c>
      <c r="L192" s="24">
        <f>IFERROR(__xludf.DUMMYFUNCTION("""COMPUTED_VALUE"""),3845.721670132801)</f>
        <v>3845.72167</v>
      </c>
      <c r="M192" s="25">
        <f>IFERROR(__xludf.DUMMYFUNCTION("""COMPUTED_VALUE"""),0.29569318544400597)</f>
        <v>0.2956931854</v>
      </c>
      <c r="N192" s="23">
        <f>IFERROR(__xludf.DUMMYFUNCTION("""COMPUTED_VALUE"""),10.674523994528618)</f>
        <v>10.67452399</v>
      </c>
      <c r="O192" s="3"/>
      <c r="P192" s="3" t="str">
        <f>IFERROR(__xludf.DUMMYFUNCTION("""COMPUTED_VALUE"""),"active")</f>
        <v>active</v>
      </c>
      <c r="Q192" s="3" t="str">
        <f>IFERROR(__xludf.DUMMYFUNCTION("""COMPUTED_VALUE"""),"completed")</f>
        <v>completed</v>
      </c>
      <c r="R192" s="3" t="str">
        <f>IFERROR(__xludf.DUMMYFUNCTION("""COMPUTED_VALUE"""),"31-12-2011")</f>
        <v>31-12-2011</v>
      </c>
      <c r="S192" s="3">
        <f>IFERROR(__xludf.DUMMYFUNCTION("""COMPUTED_VALUE"""),7.0)</f>
        <v>7</v>
      </c>
      <c r="T192" s="3">
        <f>IFERROR(__xludf.DUMMYFUNCTION("""COMPUTED_VALUE"""),2.0)</f>
        <v>2</v>
      </c>
      <c r="U192" s="3">
        <f>IFERROR(__xludf.DUMMYFUNCTION("""COMPUTED_VALUE"""),37.9)</f>
        <v>37.9</v>
      </c>
      <c r="V192" s="3">
        <f>IFERROR(__xludf.DUMMYFUNCTION("""COMPUTED_VALUE"""),1.7999999999999972)</f>
        <v>1.8</v>
      </c>
      <c r="W192" s="3" t="str">
        <f>IFERROR(__xludf.DUMMYFUNCTION("""COMPUTED_VALUE"""),"M&amp;T")</f>
        <v>M&amp;T</v>
      </c>
      <c r="X192" s="26" t="str">
        <f>IFERROR(__xludf.DUMMYFUNCTION("""COMPUTED_VALUE"""),"https://rijksictdashboard.nl/ict-activiteiten/c109adb4-3a3a-4df4-ba0f-5849ccc8a43d")</f>
        <v>https://rijksictdashboard.nl/ict-activiteiten/c109adb4-3a3a-4df4-ba0f-5849ccc8a43d</v>
      </c>
      <c r="Y192" s="3"/>
      <c r="Z192" s="3"/>
      <c r="AA192" s="3"/>
      <c r="AB192" s="3"/>
    </row>
    <row r="193" ht="12.75" customHeight="1"/>
    <row r="194" ht="12.75" customHeight="1"/>
    <row r="195" ht="12.75" customHeight="1"/>
    <row r="196" ht="12.75" customHeight="1">
      <c r="A196" s="8" t="s">
        <v>260</v>
      </c>
      <c r="U196" s="3">
        <f>SUM(U198:U220)</f>
        <v>131.8</v>
      </c>
    </row>
    <row r="197" ht="12.75" customHeight="1">
      <c r="A197" s="3" t="str">
        <f t="shared" ref="A197:X197" si="24">A9</f>
        <v>Min</v>
      </c>
      <c r="B197" s="3" t="str">
        <f t="shared" si="24"/>
        <v>Description</v>
      </c>
      <c r="C197" s="3" t="str">
        <f t="shared" si="24"/>
        <v>Planned Cost (mln EUR)</v>
      </c>
      <c r="D197" s="3" t="str">
        <f t="shared" si="24"/>
        <v>% IT</v>
      </c>
      <c r="E197" s="3" t="str">
        <f t="shared" si="24"/>
        <v>time period</v>
      </c>
      <c r="F197" s="3" t="str">
        <f t="shared" si="24"/>
        <v>Planned Duration (year)</v>
      </c>
      <c r="G197" s="3" t="str">
        <f t="shared" si="24"/>
        <v>IT EUR(mln)</v>
      </c>
      <c r="H197" s="3" t="str">
        <f t="shared" si="24"/>
        <v>IT/year</v>
      </c>
      <c r="I197" s="3" t="str">
        <f t="shared" si="24"/>
        <v>software EUR(mln)</v>
      </c>
      <c r="J197" s="3" t="str">
        <f t="shared" si="24"/>
        <v>dollars 99</v>
      </c>
      <c r="K197" s="3" t="str">
        <f t="shared" si="24"/>
        <v>Benchmark</v>
      </c>
      <c r="L197" s="3" t="str">
        <f t="shared" si="24"/>
        <v>size (FP)</v>
      </c>
      <c r="M197" s="3" t="str">
        <f t="shared" si="24"/>
        <v>probability of failure</v>
      </c>
      <c r="N197" s="3" t="str">
        <f t="shared" si="24"/>
        <v>failure(mln EUR)</v>
      </c>
      <c r="O197" s="3" t="str">
        <f t="shared" si="24"/>
        <v/>
      </c>
      <c r="P197" s="3" t="str">
        <f t="shared" si="24"/>
        <v>Current status</v>
      </c>
      <c r="Q197" s="3" t="str">
        <f t="shared" si="24"/>
        <v>Combined status</v>
      </c>
      <c r="R197" s="3" t="str">
        <f t="shared" si="24"/>
        <v>Online date</v>
      </c>
      <c r="S197" s="3" t="str">
        <f t="shared" si="24"/>
        <v>Actual Duration (year)</v>
      </c>
      <c r="T197" s="3" t="str">
        <f t="shared" si="24"/>
        <v>Time Overrun (years)</v>
      </c>
      <c r="U197" s="3" t="str">
        <f t="shared" si="24"/>
        <v>Lastest cost</v>
      </c>
      <c r="V197" s="3" t="str">
        <f t="shared" si="24"/>
        <v>Cost Overrun (mln EUR)</v>
      </c>
      <c r="W197" s="3" t="str">
        <f t="shared" si="24"/>
        <v>Overrun(M&amp;T)</v>
      </c>
      <c r="X197" s="3" t="str">
        <f t="shared" si="24"/>
        <v>info link</v>
      </c>
    </row>
    <row r="198" ht="12.75" customHeight="1">
      <c r="A198" s="3" t="str">
        <f>IFERROR(__xludf.DUMMYFUNCTION("FILTER(A10:X82, (Q10:Q82=""cancelled"") + (Q10:Q82=""suspended""))
"),"FIN")</f>
        <v>FIN</v>
      </c>
      <c r="B198" s="3" t="str">
        <f>IFERROR(__xludf.DUMMYFUNCTION("""COMPUTED_VALUE"""),"Complexiteitsreductie")</f>
        <v>Complexiteitsreductie</v>
      </c>
      <c r="C198" s="3">
        <f>IFERROR(__xludf.DUMMYFUNCTION("""COMPUTED_VALUE"""),200.0)</f>
        <v>200</v>
      </c>
      <c r="D198" s="3">
        <f>IFERROR(__xludf.DUMMYFUNCTION("""COMPUTED_VALUE"""),90.0)</f>
        <v>90</v>
      </c>
      <c r="E198" s="3" t="str">
        <f>IFERROR(__xludf.DUMMYFUNCTION("""COMPUTED_VALUE"""),"2006-2015")</f>
        <v>2006-2015</v>
      </c>
      <c r="F198" s="3">
        <f>IFERROR(__xludf.DUMMYFUNCTION("""COMPUTED_VALUE"""),9.0)</f>
        <v>9</v>
      </c>
      <c r="G198" s="3">
        <f>IFERROR(__xludf.DUMMYFUNCTION("""COMPUTED_VALUE"""),180.0)</f>
        <v>180</v>
      </c>
      <c r="H198" s="3">
        <f>IFERROR(__xludf.DUMMYFUNCTION("""COMPUTED_VALUE"""),20.0)</f>
        <v>20</v>
      </c>
      <c r="I198" s="3">
        <f>IFERROR(__xludf.DUMMYFUNCTION("""COMPUTED_VALUE"""),180.0)</f>
        <v>180</v>
      </c>
      <c r="J198" s="24">
        <f>IFERROR(__xludf.DUMMYFUNCTION("""COMPUTED_VALUE"""),1.6282711600862336E8)</f>
        <v>162827116</v>
      </c>
      <c r="K198" s="3" t="str">
        <f>IFERROR(__xludf.DUMMYFUNCTION("""COMPUTED_VALUE"""),"MIS")</f>
        <v>MIS</v>
      </c>
      <c r="L198" s="24">
        <f>IFERROR(__xludf.DUMMYFUNCTION("""COMPUTED_VALUE"""),32891.88138367177)</f>
        <v>32891.88138</v>
      </c>
      <c r="M198" s="25">
        <f>IFERROR(__xludf.DUMMYFUNCTION("""COMPUTED_VALUE"""),0.46403074609889705)</f>
        <v>0.4640307461</v>
      </c>
      <c r="N198" s="23">
        <f>IFERROR(__xludf.DUMMYFUNCTION("""COMPUTED_VALUE"""),92.80614921977941)</f>
        <v>92.80614922</v>
      </c>
      <c r="O198" s="3"/>
      <c r="P198" s="3" t="str">
        <f>IFERROR(__xludf.DUMMYFUNCTION("""COMPUTED_VALUE"""),"suspended")</f>
        <v>suspended</v>
      </c>
      <c r="Q198" s="3" t="str">
        <f>IFERROR(__xludf.DUMMYFUNCTION("""COMPUTED_VALUE"""),"suspended")</f>
        <v>suspended</v>
      </c>
      <c r="R198" s="3"/>
      <c r="S198" s="3" t="str">
        <f>IFERROR(__xludf.DUMMYFUNCTION("""COMPUTED_VALUE"""),"")</f>
        <v/>
      </c>
      <c r="T198" s="3"/>
      <c r="U198" s="3"/>
      <c r="V198" s="3" t="str">
        <f>IFERROR(__xludf.DUMMYFUNCTION("""COMPUTED_VALUE"""),"")</f>
        <v/>
      </c>
      <c r="W198" s="3"/>
      <c r="X198" s="3" t="str">
        <f>IFERROR(__xludf.DUMMYFUNCTION("""COMPUTED_VALUE"""),"T1")</f>
        <v>T1</v>
      </c>
    </row>
    <row r="199" ht="12.75" customHeight="1">
      <c r="A199" s="3" t="str">
        <f>IFERROR(__xludf.DUMMYFUNCTION("""COMPUTED_VALUE"""),"VenW")</f>
        <v>VenW</v>
      </c>
      <c r="B199" s="3" t="str">
        <f>IFERROR(__xludf.DUMMYFUNCTION("""COMPUTED_VALUE"""),"VTI, Programma Vaste Telecom Infra")</f>
        <v>VTI, Programma Vaste Telecom Infra</v>
      </c>
      <c r="C199" s="3">
        <f>IFERROR(__xludf.DUMMYFUNCTION("""COMPUTED_VALUE"""),117.0)</f>
        <v>117</v>
      </c>
      <c r="D199" s="3">
        <f>IFERROR(__xludf.DUMMYFUNCTION("""COMPUTED_VALUE"""),100.0)</f>
        <v>100</v>
      </c>
      <c r="E199" s="3" t="str">
        <f>IFERROR(__xludf.DUMMYFUNCTION("""COMPUTED_VALUE"""),"2006-2011")</f>
        <v>2006-2011</v>
      </c>
      <c r="F199" s="3">
        <f>IFERROR(__xludf.DUMMYFUNCTION("""COMPUTED_VALUE"""),5.0)</f>
        <v>5</v>
      </c>
      <c r="G199" s="3">
        <f>IFERROR(__xludf.DUMMYFUNCTION("""COMPUTED_VALUE"""),117.0)</f>
        <v>117</v>
      </c>
      <c r="H199" s="3">
        <f>IFERROR(__xludf.DUMMYFUNCTION("""COMPUTED_VALUE"""),23.4)</f>
        <v>23.4</v>
      </c>
      <c r="I199" s="3">
        <f>IFERROR(__xludf.DUMMYFUNCTION("""COMPUTED_VALUE"""),117.0)</f>
        <v>117</v>
      </c>
      <c r="J199" s="24">
        <f>IFERROR(__xludf.DUMMYFUNCTION("""COMPUTED_VALUE"""),1.0583762540560518E8)</f>
        <v>105837625.4</v>
      </c>
      <c r="K199" s="3" t="str">
        <f>IFERROR(__xludf.DUMMYFUNCTION("""COMPUTED_VALUE"""),"MIS")</f>
        <v>MIS</v>
      </c>
      <c r="L199" s="24">
        <f>IFERROR(__xludf.DUMMYFUNCTION("""COMPUTED_VALUE"""),24458.142360354508)</f>
        <v>24458.14236</v>
      </c>
      <c r="M199" s="25">
        <f>IFERROR(__xludf.DUMMYFUNCTION("""COMPUTED_VALUE"""),0.4522494232711198)</f>
        <v>0.4522494233</v>
      </c>
      <c r="N199" s="23">
        <f>IFERROR(__xludf.DUMMYFUNCTION("""COMPUTED_VALUE"""),52.913182522721016)</f>
        <v>52.91318252</v>
      </c>
      <c r="O199" s="3"/>
      <c r="P199" s="3" t="str">
        <f>IFERROR(__xludf.DUMMYFUNCTION("""COMPUTED_VALUE"""),"cancelled")</f>
        <v>cancelled</v>
      </c>
      <c r="Q199" s="3" t="str">
        <f>IFERROR(__xludf.DUMMYFUNCTION("""COMPUTED_VALUE"""),"cancelled")</f>
        <v>cancelled</v>
      </c>
      <c r="R199" s="3"/>
      <c r="S199" s="3" t="str">
        <f>IFERROR(__xludf.DUMMYFUNCTION("""COMPUTED_VALUE"""),"")</f>
        <v/>
      </c>
      <c r="T199" s="3"/>
      <c r="U199" s="3"/>
      <c r="V199" s="3" t="str">
        <f>IFERROR(__xludf.DUMMYFUNCTION("""COMPUTED_VALUE"""),"")</f>
        <v/>
      </c>
      <c r="W199" s="3"/>
      <c r="X199" s="3" t="str">
        <f>IFERROR(__xludf.DUMMYFUNCTION("""COMPUTED_VALUE"""),"T1")</f>
        <v>T1</v>
      </c>
    </row>
    <row r="200" ht="12.75" customHeight="1">
      <c r="A200" s="3" t="str">
        <f>IFERROR(__xludf.DUMMYFUNCTION("""COMPUTED_VALUE"""),"VenW")</f>
        <v>VenW</v>
      </c>
      <c r="B200" s="3" t="str">
        <f>IFERROR(__xludf.DUMMYFUNCTION("""COMPUTED_VALUE"""),"InfoPlus")</f>
        <v>InfoPlus</v>
      </c>
      <c r="C200" s="3">
        <f>IFERROR(__xludf.DUMMYFUNCTION("""COMPUTED_VALUE"""),143.0)</f>
        <v>143</v>
      </c>
      <c r="D200" s="3">
        <f>IFERROR(__xludf.DUMMYFUNCTION("""COMPUTED_VALUE"""),80.0)</f>
        <v>80</v>
      </c>
      <c r="E200" s="3" t="str">
        <f>IFERROR(__xludf.DUMMYFUNCTION("""COMPUTED_VALUE"""),"Oct 2000 - Oct 2009")</f>
        <v>Oct 2000 - Oct 2009</v>
      </c>
      <c r="F200" s="3">
        <f>IFERROR(__xludf.DUMMYFUNCTION("""COMPUTED_VALUE"""),9.0)</f>
        <v>9</v>
      </c>
      <c r="G200" s="3">
        <f>IFERROR(__xludf.DUMMYFUNCTION("""COMPUTED_VALUE"""),114.4)</f>
        <v>114.4</v>
      </c>
      <c r="H200" s="3">
        <f>IFERROR(__xludf.DUMMYFUNCTION("""COMPUTED_VALUE"""),12.711111111111112)</f>
        <v>12.71111111</v>
      </c>
      <c r="I200" s="3">
        <f>IFERROR(__xludf.DUMMYFUNCTION("""COMPUTED_VALUE"""),114.4)</f>
        <v>114.4</v>
      </c>
      <c r="J200" s="24">
        <f>IFERROR(__xludf.DUMMYFUNCTION("""COMPUTED_VALUE"""),1.0348567817436953E8)</f>
        <v>103485678.2</v>
      </c>
      <c r="K200" s="3" t="str">
        <f>IFERROR(__xludf.DUMMYFUNCTION("""COMPUTED_VALUE"""),"MIS")</f>
        <v>MIS</v>
      </c>
      <c r="L200" s="24">
        <f>IFERROR(__xludf.DUMMYFUNCTION("""COMPUTED_VALUE"""),24083.04115363188)</f>
        <v>24083.04115</v>
      </c>
      <c r="M200" s="25">
        <f>IFERROR(__xludf.DUMMYFUNCTION("""COMPUTED_VALUE"""),0.45151572624627984)</f>
        <v>0.4515157262</v>
      </c>
      <c r="N200" s="23">
        <f>IFERROR(__xludf.DUMMYFUNCTION("""COMPUTED_VALUE"""),64.56674885321802)</f>
        <v>64.56674885</v>
      </c>
      <c r="O200" s="3"/>
      <c r="P200" s="3" t="str">
        <f>IFERROR(__xludf.DUMMYFUNCTION("""COMPUTED_VALUE"""),"cancelled")</f>
        <v>cancelled</v>
      </c>
      <c r="Q200" s="3" t="str">
        <f>IFERROR(__xludf.DUMMYFUNCTION("""COMPUTED_VALUE"""),"cancelled")</f>
        <v>cancelled</v>
      </c>
      <c r="R200" s="3"/>
      <c r="S200" s="3" t="str">
        <f>IFERROR(__xludf.DUMMYFUNCTION("""COMPUTED_VALUE"""),"")</f>
        <v/>
      </c>
      <c r="T200" s="3"/>
      <c r="U200" s="3"/>
      <c r="V200" s="3" t="str">
        <f>IFERROR(__xludf.DUMMYFUNCTION("""COMPUTED_VALUE"""),"")</f>
        <v/>
      </c>
      <c r="W200" s="3"/>
      <c r="X200" s="3" t="str">
        <f>IFERROR(__xludf.DUMMYFUNCTION("""COMPUTED_VALUE"""),"T1")</f>
        <v>T1</v>
      </c>
    </row>
    <row r="201" ht="12.75" customHeight="1">
      <c r="A201" s="3" t="str">
        <f>IFERROR(__xludf.DUMMYFUNCTION("""COMPUTED_VALUE"""),"SZW")</f>
        <v>SZW</v>
      </c>
      <c r="B201" s="3" t="str">
        <f>IFERROR(__xludf.DUMMYFUNCTION("""COMPUTED_VALUE"""),"wet Werk en Inkomen naar Arbeidsvermogen (UWV)")</f>
        <v>wet Werk en Inkomen naar Arbeidsvermogen (UWV)</v>
      </c>
      <c r="C201" s="3">
        <f>IFERROR(__xludf.DUMMYFUNCTION("""COMPUTED_VALUE"""),127.0)</f>
        <v>127</v>
      </c>
      <c r="D201" s="3">
        <f>IFERROR(__xludf.DUMMYFUNCTION("""COMPUTED_VALUE"""),60.0)</f>
        <v>60</v>
      </c>
      <c r="E201" s="3" t="str">
        <f>IFERROR(__xludf.DUMMYFUNCTION("""COMPUTED_VALUE"""),"Oct 2005 till medio 2008")</f>
        <v>Oct 2005 till medio 2008</v>
      </c>
      <c r="F201" s="3">
        <f>IFERROR(__xludf.DUMMYFUNCTION("""COMPUTED_VALUE"""),2.8)</f>
        <v>2.8</v>
      </c>
      <c r="G201" s="3">
        <f>IFERROR(__xludf.DUMMYFUNCTION("""COMPUTED_VALUE"""),76.2)</f>
        <v>76.2</v>
      </c>
      <c r="H201" s="3">
        <f>IFERROR(__xludf.DUMMYFUNCTION("""COMPUTED_VALUE"""),27.214285714285715)</f>
        <v>27.21428571</v>
      </c>
      <c r="I201" s="3">
        <f>IFERROR(__xludf.DUMMYFUNCTION("""COMPUTED_VALUE"""),76.2)</f>
        <v>76.2</v>
      </c>
      <c r="J201" s="24">
        <f>IFERROR(__xludf.DUMMYFUNCTION("""COMPUTED_VALUE"""),6.893014577698389E7)</f>
        <v>68930145.78</v>
      </c>
      <c r="K201" s="3" t="str">
        <f>IFERROR(__xludf.DUMMYFUNCTION("""COMPUTED_VALUE"""),"MIS")</f>
        <v>MIS</v>
      </c>
      <c r="L201" s="24">
        <f>IFERROR(__xludf.DUMMYFUNCTION("""COMPUTED_VALUE"""),18211.543237690348)</f>
        <v>18211.54324</v>
      </c>
      <c r="M201" s="25">
        <f>IFERROR(__xludf.DUMMYFUNCTION("""COMPUTED_VALUE"""),0.4361456241133449)</f>
        <v>0.4361456241</v>
      </c>
      <c r="N201" s="23">
        <f>IFERROR(__xludf.DUMMYFUNCTION("""COMPUTED_VALUE"""),55.3904942623948)</f>
        <v>55.39049426</v>
      </c>
      <c r="O201" s="3"/>
      <c r="P201" s="3" t="str">
        <f>IFERROR(__xludf.DUMMYFUNCTION("""COMPUTED_VALUE"""),"cancelled")</f>
        <v>cancelled</v>
      </c>
      <c r="Q201" s="3" t="str">
        <f>IFERROR(__xludf.DUMMYFUNCTION("""COMPUTED_VALUE"""),"cancelled")</f>
        <v>cancelled</v>
      </c>
      <c r="R201" s="3"/>
      <c r="S201" s="3" t="str">
        <f>IFERROR(__xludf.DUMMYFUNCTION("""COMPUTED_VALUE"""),"")</f>
        <v/>
      </c>
      <c r="T201" s="3"/>
      <c r="U201" s="3"/>
      <c r="V201" s="3" t="str">
        <f>IFERROR(__xludf.DUMMYFUNCTION("""COMPUTED_VALUE"""),"")</f>
        <v/>
      </c>
      <c r="W201" s="3"/>
      <c r="X201" s="3" t="str">
        <f>IFERROR(__xludf.DUMMYFUNCTION("""COMPUTED_VALUE"""),"T1")</f>
        <v>T1</v>
      </c>
    </row>
    <row r="202" ht="12.75" customHeight="1">
      <c r="A202" s="3" t="str">
        <f>IFERROR(__xludf.DUMMYFUNCTION("""COMPUTED_VALUE"""),"SZW")</f>
        <v>SZW</v>
      </c>
      <c r="B202" s="3" t="str">
        <f>IFERROR(__xludf.DUMMYFUNCTION("""COMPUTED_VALUE"""),"Walvis/SUB SZW Digitaal Klantdossier (CWI)")</f>
        <v>Walvis/SUB SZW Digitaal Klantdossier (CWI)</v>
      </c>
      <c r="C202" s="3">
        <f>IFERROR(__xludf.DUMMYFUNCTION("""COMPUTED_VALUE"""),59.1)</f>
        <v>59.1</v>
      </c>
      <c r="D202" s="3">
        <f>IFERROR(__xludf.DUMMYFUNCTION("""COMPUTED_VALUE"""),80.0)</f>
        <v>80</v>
      </c>
      <c r="E202" s="3" t="str">
        <f>IFERROR(__xludf.DUMMYFUNCTION("""COMPUTED_VALUE"""),"2005-2008")</f>
        <v>2005-2008</v>
      </c>
      <c r="F202" s="3">
        <f>IFERROR(__xludf.DUMMYFUNCTION("""COMPUTED_VALUE"""),3.0)</f>
        <v>3</v>
      </c>
      <c r="G202" s="3">
        <f>IFERROR(__xludf.DUMMYFUNCTION("""COMPUTED_VALUE"""),47.28)</f>
        <v>47.28</v>
      </c>
      <c r="H202" s="3">
        <f>IFERROR(__xludf.DUMMYFUNCTION("""COMPUTED_VALUE"""),15.76)</f>
        <v>15.76</v>
      </c>
      <c r="I202" s="3">
        <f>IFERROR(__xludf.DUMMYFUNCTION("""COMPUTED_VALUE"""),47.28)</f>
        <v>47.28</v>
      </c>
      <c r="J202" s="24">
        <f>IFERROR(__xludf.DUMMYFUNCTION("""COMPUTED_VALUE"""),4.276925580493174E7)</f>
        <v>42769255.8</v>
      </c>
      <c r="K202" s="3" t="str">
        <f>IFERROR(__xludf.DUMMYFUNCTION("""COMPUTED_VALUE"""),"MIS")</f>
        <v>MIS</v>
      </c>
      <c r="L202" s="24">
        <f>IFERROR(__xludf.DUMMYFUNCTION("""COMPUTED_VALUE"""),13115.825380320583)</f>
        <v>13115.82538</v>
      </c>
      <c r="M202" s="25">
        <f>IFERROR(__xludf.DUMMYFUNCTION("""COMPUTED_VALUE"""),0.41312824999342057)</f>
        <v>0.41312825</v>
      </c>
      <c r="N202" s="23">
        <f>IFERROR(__xludf.DUMMYFUNCTION("""COMPUTED_VALUE"""),24.415879574611157)</f>
        <v>24.41587957</v>
      </c>
      <c r="O202" s="3"/>
      <c r="P202" s="3" t="str">
        <f>IFERROR(__xludf.DUMMYFUNCTION("""COMPUTED_VALUE"""),"cancelled")</f>
        <v>cancelled</v>
      </c>
      <c r="Q202" s="3" t="str">
        <f>IFERROR(__xludf.DUMMYFUNCTION("""COMPUTED_VALUE"""),"cancelled")</f>
        <v>cancelled</v>
      </c>
      <c r="R202" s="3"/>
      <c r="S202" s="3" t="str">
        <f>IFERROR(__xludf.DUMMYFUNCTION("""COMPUTED_VALUE"""),"")</f>
        <v/>
      </c>
      <c r="T202" s="3"/>
      <c r="U202" s="3"/>
      <c r="V202" s="3" t="str">
        <f>IFERROR(__xludf.DUMMYFUNCTION("""COMPUTED_VALUE"""),"")</f>
        <v/>
      </c>
      <c r="W202" s="3"/>
      <c r="X202" s="3" t="str">
        <f>IFERROR(__xludf.DUMMYFUNCTION("""COMPUTED_VALUE"""),"T1")</f>
        <v>T1</v>
      </c>
    </row>
    <row r="203" ht="12.75" customHeight="1">
      <c r="A203" s="3" t="str">
        <f>IFERROR(__xludf.DUMMYFUNCTION("""COMPUTED_VALUE"""),"BZ")</f>
        <v>BZ</v>
      </c>
      <c r="B203" s="3" t="str">
        <f>IFERROR(__xludf.DUMMYFUNCTION("""COMPUTED_VALUE"""),"Werken in de Toekomst (WIT)")</f>
        <v>Werken in de Toekomst (WIT)</v>
      </c>
      <c r="C203" s="3">
        <f>IFERROR(__xludf.DUMMYFUNCTION("""COMPUTED_VALUE"""),50.0)</f>
        <v>50</v>
      </c>
      <c r="D203" s="3">
        <f>IFERROR(__xludf.DUMMYFUNCTION("""COMPUTED_VALUE"""),85.0)</f>
        <v>85</v>
      </c>
      <c r="E203" s="3" t="str">
        <f>IFERROR(__xludf.DUMMYFUNCTION("""COMPUTED_VALUE"""),"2008-2001")</f>
        <v>2008-2001</v>
      </c>
      <c r="F203" s="3">
        <f>IFERROR(__xludf.DUMMYFUNCTION("""COMPUTED_VALUE"""),7.0)</f>
        <v>7</v>
      </c>
      <c r="G203" s="3">
        <f>IFERROR(__xludf.DUMMYFUNCTION("""COMPUTED_VALUE"""),42.5)</f>
        <v>42.5</v>
      </c>
      <c r="H203" s="3">
        <f>IFERROR(__xludf.DUMMYFUNCTION("""COMPUTED_VALUE"""),6.071428571428571)</f>
        <v>6.071428571</v>
      </c>
      <c r="I203" s="3">
        <f>IFERROR(__xludf.DUMMYFUNCTION("""COMPUTED_VALUE"""),42.5)</f>
        <v>42.5</v>
      </c>
      <c r="J203" s="24">
        <f>IFERROR(__xludf.DUMMYFUNCTION("""COMPUTED_VALUE"""),3.844529127981384E7)</f>
        <v>38445291.28</v>
      </c>
      <c r="K203" s="3" t="str">
        <f>IFERROR(__xludf.DUMMYFUNCTION("""COMPUTED_VALUE"""),"MIS")</f>
        <v>MIS</v>
      </c>
      <c r="L203" s="24">
        <f>IFERROR(__xludf.DUMMYFUNCTION("""COMPUTED_VALUE"""),12188.81745288988)</f>
        <v>12188.81745</v>
      </c>
      <c r="M203" s="25">
        <f>IFERROR(__xludf.DUMMYFUNCTION("""COMPUTED_VALUE"""),0.407310558951624)</f>
        <v>0.407310559</v>
      </c>
      <c r="N203" s="23">
        <f>IFERROR(__xludf.DUMMYFUNCTION("""COMPUTED_VALUE"""),20.3655279475812)</f>
        <v>20.36552795</v>
      </c>
      <c r="O203" s="3"/>
      <c r="P203" s="3" t="str">
        <f>IFERROR(__xludf.DUMMYFUNCTION("""COMPUTED_VALUE"""),"cancelled")</f>
        <v>cancelled</v>
      </c>
      <c r="Q203" s="3" t="str">
        <f>IFERROR(__xludf.DUMMYFUNCTION("""COMPUTED_VALUE"""),"cancelled")</f>
        <v>cancelled</v>
      </c>
      <c r="R203" s="3"/>
      <c r="S203" s="3" t="str">
        <f>IFERROR(__xludf.DUMMYFUNCTION("""COMPUTED_VALUE"""),"")</f>
        <v/>
      </c>
      <c r="T203" s="3"/>
      <c r="U203" s="3">
        <f>IFERROR(__xludf.DUMMYFUNCTION("""COMPUTED_VALUE"""),10.0)</f>
        <v>10</v>
      </c>
      <c r="V203" s="3">
        <f>IFERROR(__xludf.DUMMYFUNCTION("""COMPUTED_VALUE"""),-40.0)</f>
        <v>-40</v>
      </c>
      <c r="W203" s="3"/>
      <c r="X203" s="3" t="str">
        <f>IFERROR(__xludf.DUMMYFUNCTION("""COMPUTED_VALUE"""),"T1")</f>
        <v>T1</v>
      </c>
    </row>
    <row r="204" ht="12.75" customHeight="1">
      <c r="A204" s="3" t="str">
        <f>IFERROR(__xludf.DUMMYFUNCTION("""COMPUTED_VALUE"""),"OCW")</f>
        <v>OCW</v>
      </c>
      <c r="B204" s="3" t="str">
        <f>IFERROR(__xludf.DUMMYFUNCTION("""COMPUTED_VALUE"""),"Wijziging studiefinancieringssytemen IBGroep")</f>
        <v>Wijziging studiefinancieringssytemen IBGroep</v>
      </c>
      <c r="C204" s="3">
        <f>IFERROR(__xludf.DUMMYFUNCTION("""COMPUTED_VALUE"""),54.2)</f>
        <v>54.2</v>
      </c>
      <c r="D204" s="3">
        <f>IFERROR(__xludf.DUMMYFUNCTION("""COMPUTED_VALUE"""),72.0)</f>
        <v>72</v>
      </c>
      <c r="E204" s="3" t="str">
        <f>IFERROR(__xludf.DUMMYFUNCTION("""COMPUTED_VALUE"""),"2006-2011")</f>
        <v>2006-2011</v>
      </c>
      <c r="F204" s="3">
        <f>IFERROR(__xludf.DUMMYFUNCTION("""COMPUTED_VALUE"""),5.0)</f>
        <v>5</v>
      </c>
      <c r="G204" s="3">
        <f>IFERROR(__xludf.DUMMYFUNCTION("""COMPUTED_VALUE"""),39.024)</f>
        <v>39.024</v>
      </c>
      <c r="H204" s="3">
        <f>IFERROR(__xludf.DUMMYFUNCTION("""COMPUTED_VALUE"""),7.8048)</f>
        <v>7.8048</v>
      </c>
      <c r="I204" s="3">
        <f>IFERROR(__xludf.DUMMYFUNCTION("""COMPUTED_VALUE"""),39.024)</f>
        <v>39.024</v>
      </c>
      <c r="J204" s="24">
        <f>IFERROR(__xludf.DUMMYFUNCTION("""COMPUTED_VALUE"""),3.530091875066955E7)</f>
        <v>35300918.75</v>
      </c>
      <c r="K204" s="3" t="str">
        <f>IFERROR(__xludf.DUMMYFUNCTION("""COMPUTED_VALUE"""),"MIS")</f>
        <v>MIS</v>
      </c>
      <c r="L204" s="24">
        <f>IFERROR(__xludf.DUMMYFUNCTION("""COMPUTED_VALUE"""),11494.133352783005)</f>
        <v>11494.13335</v>
      </c>
      <c r="M204" s="25">
        <f>IFERROR(__xludf.DUMMYFUNCTION("""COMPUTED_VALUE"""),0.4024903625277072)</f>
        <v>0.4024903625</v>
      </c>
      <c r="N204" s="23">
        <f>IFERROR(__xludf.DUMMYFUNCTION("""COMPUTED_VALUE"""),21.814977649001733)</f>
        <v>21.81497765</v>
      </c>
      <c r="O204" s="3"/>
      <c r="P204" s="3" t="str">
        <f>IFERROR(__xludf.DUMMYFUNCTION("""COMPUTED_VALUE"""),"cancelled")</f>
        <v>cancelled</v>
      </c>
      <c r="Q204" s="3" t="str">
        <f>IFERROR(__xludf.DUMMYFUNCTION("""COMPUTED_VALUE"""),"cancelled")</f>
        <v>cancelled</v>
      </c>
      <c r="R204" s="3"/>
      <c r="S204" s="3" t="str">
        <f>IFERROR(__xludf.DUMMYFUNCTION("""COMPUTED_VALUE"""),"")</f>
        <v/>
      </c>
      <c r="T204" s="3"/>
      <c r="U204" s="3"/>
      <c r="V204" s="3" t="str">
        <f>IFERROR(__xludf.DUMMYFUNCTION("""COMPUTED_VALUE"""),"")</f>
        <v/>
      </c>
      <c r="W204" s="3"/>
      <c r="X204" s="3" t="str">
        <f>IFERROR(__xludf.DUMMYFUNCTION("""COMPUTED_VALUE"""),"T1")</f>
        <v>T1</v>
      </c>
    </row>
    <row r="205" ht="12.75" customHeight="1">
      <c r="A205" s="3" t="str">
        <f>IFERROR(__xludf.DUMMYFUNCTION("""COMPUTED_VALUE"""),"SZW")</f>
        <v>SZW</v>
      </c>
      <c r="B205" s="3" t="str">
        <f>IFERROR(__xludf.DUMMYFUNCTION("""COMPUTED_VALUE"""),"USMF (UWV)")</f>
        <v>USMF (UWV)</v>
      </c>
      <c r="C205" s="3">
        <f>IFERROR(__xludf.DUMMYFUNCTION("""COMPUTED_VALUE"""),31.1)</f>
        <v>31.1</v>
      </c>
      <c r="D205" s="3">
        <f>IFERROR(__xludf.DUMMYFUNCTION("""COMPUTED_VALUE"""),100.0)</f>
        <v>100</v>
      </c>
      <c r="E205" s="3" t="str">
        <f>IFERROR(__xludf.DUMMYFUNCTION("""COMPUTED_VALUE"""),"2002-2007")</f>
        <v>2002-2007</v>
      </c>
      <c r="F205" s="3">
        <f>IFERROR(__xludf.DUMMYFUNCTION("""COMPUTED_VALUE"""),5.0)</f>
        <v>5</v>
      </c>
      <c r="G205" s="3">
        <f>IFERROR(__xludf.DUMMYFUNCTION("""COMPUTED_VALUE"""),31.1)</f>
        <v>31.1</v>
      </c>
      <c r="H205" s="3">
        <f>IFERROR(__xludf.DUMMYFUNCTION("""COMPUTED_VALUE"""),6.220000000000001)</f>
        <v>6.22</v>
      </c>
      <c r="I205" s="3">
        <f>IFERROR(__xludf.DUMMYFUNCTION("""COMPUTED_VALUE"""),31.1)</f>
        <v>31.1</v>
      </c>
      <c r="J205" s="24">
        <f>IFERROR(__xludf.DUMMYFUNCTION("""COMPUTED_VALUE"""),2.813290726593437E7)</f>
        <v>28132907.27</v>
      </c>
      <c r="K205" s="3" t="str">
        <f>IFERROR(__xludf.DUMMYFUNCTION("""COMPUTED_VALUE"""),"MIS")</f>
        <v>MIS</v>
      </c>
      <c r="L205" s="24">
        <f>IFERROR(__xludf.DUMMYFUNCTION("""COMPUTED_VALUE"""),9832.991139428595)</f>
        <v>9832.991139</v>
      </c>
      <c r="M205" s="25">
        <f>IFERROR(__xludf.DUMMYFUNCTION("""COMPUTED_VALUE"""),0.38901686344110337)</f>
        <v>0.3890168634</v>
      </c>
      <c r="N205" s="23">
        <f>IFERROR(__xludf.DUMMYFUNCTION("""COMPUTED_VALUE"""),12.098424453018316)</f>
        <v>12.09842445</v>
      </c>
      <c r="O205" s="3"/>
      <c r="P205" s="3" t="str">
        <f>IFERROR(__xludf.DUMMYFUNCTION("""COMPUTED_VALUE"""),"cancelled")</f>
        <v>cancelled</v>
      </c>
      <c r="Q205" s="3" t="str">
        <f>IFERROR(__xludf.DUMMYFUNCTION("""COMPUTED_VALUE"""),"cancelled")</f>
        <v>cancelled</v>
      </c>
      <c r="R205" s="3"/>
      <c r="S205" s="3" t="str">
        <f>IFERROR(__xludf.DUMMYFUNCTION("""COMPUTED_VALUE"""),"")</f>
        <v/>
      </c>
      <c r="T205" s="3"/>
      <c r="U205" s="3"/>
      <c r="V205" s="3" t="str">
        <f>IFERROR(__xludf.DUMMYFUNCTION("""COMPUTED_VALUE"""),"")</f>
        <v/>
      </c>
      <c r="W205" s="3"/>
      <c r="X205" s="3" t="str">
        <f>IFERROR(__xludf.DUMMYFUNCTION("""COMPUTED_VALUE"""),"T1")</f>
        <v>T1</v>
      </c>
    </row>
    <row r="206" ht="12.75" customHeight="1">
      <c r="A206" s="3" t="str">
        <f>IFERROR(__xludf.DUMMYFUNCTION("""COMPUTED_VALUE"""),"VenW")</f>
        <v>VenW</v>
      </c>
      <c r="B206" s="3" t="str">
        <f>IFERROR(__xludf.DUMMYFUNCTION("""COMPUTED_VALUE"""),"Herman")</f>
        <v>Herman</v>
      </c>
      <c r="C206" s="3">
        <f>IFERROR(__xludf.DUMMYFUNCTION("""COMPUTED_VALUE"""),30.5)</f>
        <v>30.5</v>
      </c>
      <c r="D206" s="3">
        <f>IFERROR(__xludf.DUMMYFUNCTION("""COMPUTED_VALUE"""),95.0)</f>
        <v>95</v>
      </c>
      <c r="E206" s="3" t="str">
        <f>IFERROR(__xludf.DUMMYFUNCTION("""COMPUTED_VALUE"""),"Q3-2006 t/m Q1-2009")</f>
        <v>Q3-2006 t/m Q1-2009</v>
      </c>
      <c r="F206" s="3">
        <f>IFERROR(__xludf.DUMMYFUNCTION("""COMPUTED_VALUE"""),2.5)</f>
        <v>2.5</v>
      </c>
      <c r="G206" s="3">
        <f>IFERROR(__xludf.DUMMYFUNCTION("""COMPUTED_VALUE"""),28.975)</f>
        <v>28.975</v>
      </c>
      <c r="H206" s="3">
        <f>IFERROR(__xludf.DUMMYFUNCTION("""COMPUTED_VALUE"""),11.59)</f>
        <v>11.59</v>
      </c>
      <c r="I206" s="3">
        <f>IFERROR(__xludf.DUMMYFUNCTION("""COMPUTED_VALUE"""),28.975)</f>
        <v>28.975</v>
      </c>
      <c r="J206" s="24">
        <f>IFERROR(__xludf.DUMMYFUNCTION("""COMPUTED_VALUE"""),2.6210642701943677E7)</f>
        <v>26210642.7</v>
      </c>
      <c r="K206" s="3" t="str">
        <f>IFERROR(__xludf.DUMMYFUNCTION("""COMPUTED_VALUE"""),"MIS")</f>
        <v>MIS</v>
      </c>
      <c r="L206" s="24">
        <f>IFERROR(__xludf.DUMMYFUNCTION("""COMPUTED_VALUE"""),9365.843669606918)</f>
        <v>9365.84367</v>
      </c>
      <c r="M206" s="25">
        <f>IFERROR(__xludf.DUMMYFUNCTION("""COMPUTED_VALUE"""),0.38463720971836723)</f>
        <v>0.3846372097</v>
      </c>
      <c r="N206" s="23">
        <f>IFERROR(__xludf.DUMMYFUNCTION("""COMPUTED_VALUE"""),11.731434896410201)</f>
        <v>11.7314349</v>
      </c>
      <c r="O206" s="3"/>
      <c r="P206" s="3" t="str">
        <f>IFERROR(__xludf.DUMMYFUNCTION("""COMPUTED_VALUE"""),"cancelled")</f>
        <v>cancelled</v>
      </c>
      <c r="Q206" s="3" t="str">
        <f>IFERROR(__xludf.DUMMYFUNCTION("""COMPUTED_VALUE"""),"cancelled")</f>
        <v>cancelled</v>
      </c>
      <c r="R206" s="3"/>
      <c r="S206" s="3" t="str">
        <f>IFERROR(__xludf.DUMMYFUNCTION("""COMPUTED_VALUE"""),"")</f>
        <v/>
      </c>
      <c r="T206" s="3"/>
      <c r="U206" s="3"/>
      <c r="V206" s="3" t="str">
        <f>IFERROR(__xludf.DUMMYFUNCTION("""COMPUTED_VALUE"""),"")</f>
        <v/>
      </c>
      <c r="W206" s="3"/>
      <c r="X206" s="3" t="str">
        <f>IFERROR(__xludf.DUMMYFUNCTION("""COMPUTED_VALUE"""),"T1")</f>
        <v>T1</v>
      </c>
    </row>
    <row r="207" ht="12.75" customHeight="1">
      <c r="A207" s="3" t="str">
        <f>IFERROR(__xludf.DUMMYFUNCTION("""COMPUTED_VALUE"""),"SZW")</f>
        <v>SZW</v>
      </c>
      <c r="B207" s="3" t="str">
        <f>IFERROR(__xludf.DUMMYFUNCTION("""COMPUTED_VALUE"""),"SVB Tien (SVB)")</f>
        <v>SVB Tien (SVB)</v>
      </c>
      <c r="C207" s="3">
        <f>IFERROR(__xludf.DUMMYFUNCTION("""COMPUTED_VALUE"""),92.0)</f>
        <v>92</v>
      </c>
      <c r="D207" s="3">
        <f>IFERROR(__xludf.DUMMYFUNCTION("""COMPUTED_VALUE"""),30.0)</f>
        <v>30</v>
      </c>
      <c r="E207" s="3" t="str">
        <f>IFERROR(__xludf.DUMMYFUNCTION("""COMPUTED_VALUE"""),"2006-2010")</f>
        <v>2006-2010</v>
      </c>
      <c r="F207" s="3">
        <f>IFERROR(__xludf.DUMMYFUNCTION("""COMPUTED_VALUE"""),4.0)</f>
        <v>4</v>
      </c>
      <c r="G207" s="3">
        <f>IFERROR(__xludf.DUMMYFUNCTION("""COMPUTED_VALUE"""),27.6)</f>
        <v>27.6</v>
      </c>
      <c r="H207" s="3">
        <f>IFERROR(__xludf.DUMMYFUNCTION("""COMPUTED_VALUE"""),6.9)</f>
        <v>6.9</v>
      </c>
      <c r="I207" s="3">
        <f>IFERROR(__xludf.DUMMYFUNCTION("""COMPUTED_VALUE"""),27.6)</f>
        <v>27.6</v>
      </c>
      <c r="J207" s="24">
        <f>IFERROR(__xludf.DUMMYFUNCTION("""COMPUTED_VALUE"""),2.4966824454655584E7)</f>
        <v>24966824.45</v>
      </c>
      <c r="K207" s="3" t="str">
        <f>IFERROR(__xludf.DUMMYFUNCTION("""COMPUTED_VALUE"""),"MIS")</f>
        <v>MIS</v>
      </c>
      <c r="L207" s="24">
        <f>IFERROR(__xludf.DUMMYFUNCTION("""COMPUTED_VALUE"""),9057.866322397238)</f>
        <v>9057.866322</v>
      </c>
      <c r="M207" s="25">
        <f>IFERROR(__xludf.DUMMYFUNCTION("""COMPUTED_VALUE"""),0.3815836334717935)</f>
        <v>0.3815836335</v>
      </c>
      <c r="N207" s="23">
        <f>IFERROR(__xludf.DUMMYFUNCTION("""COMPUTED_VALUE"""),35.10569427940501)</f>
        <v>35.10569428</v>
      </c>
      <c r="O207" s="3"/>
      <c r="P207" s="3" t="str">
        <f>IFERROR(__xludf.DUMMYFUNCTION("""COMPUTED_VALUE"""),"cancelled")</f>
        <v>cancelled</v>
      </c>
      <c r="Q207" s="3" t="str">
        <f>IFERROR(__xludf.DUMMYFUNCTION("""COMPUTED_VALUE"""),"cancelled")</f>
        <v>cancelled</v>
      </c>
      <c r="R207" s="27">
        <f>IFERROR(__xludf.DUMMYFUNCTION("""COMPUTED_VALUE"""),41679.0)</f>
        <v>41679</v>
      </c>
      <c r="S207" s="3">
        <f>IFERROR(__xludf.DUMMYFUNCTION("""COMPUTED_VALUE"""),8.0)</f>
        <v>8</v>
      </c>
      <c r="T207" s="3">
        <f>IFERROR(__xludf.DUMMYFUNCTION("""COMPUTED_VALUE"""),4.0)</f>
        <v>4</v>
      </c>
      <c r="U207" s="3">
        <f>IFERROR(__xludf.DUMMYFUNCTION("""COMPUTED_VALUE"""),121.8)</f>
        <v>121.8</v>
      </c>
      <c r="V207" s="3">
        <f>IFERROR(__xludf.DUMMYFUNCTION("""COMPUTED_VALUE"""),29.799999999999997)</f>
        <v>29.8</v>
      </c>
      <c r="W207" s="3" t="str">
        <f>IFERROR(__xludf.DUMMYFUNCTION("""COMPUTED_VALUE"""),"M&amp;T")</f>
        <v>M&amp;T</v>
      </c>
      <c r="X207" s="26" t="str">
        <f>IFERROR(__xludf.DUMMYFUNCTION("""COMPUTED_VALUE"""),"https://rijksictdashboard.nl/ict-activiteiten/09b1ce9a-294f-48db-96b9-bf5cb79305cc")</f>
        <v>https://rijksictdashboard.nl/ict-activiteiten/09b1ce9a-294f-48db-96b9-bf5cb79305cc</v>
      </c>
    </row>
    <row r="208" ht="12.75" customHeight="1">
      <c r="A208" s="3" t="str">
        <f>IFERROR(__xludf.DUMMYFUNCTION("""COMPUTED_VALUE"""),"VenW")</f>
        <v>VenW</v>
      </c>
      <c r="B208" s="3" t="str">
        <f>IFERROR(__xludf.DUMMYFUNCTION("""COMPUTED_VALUE"""),"VenW Beschikbaarheid In Zicht (BIZ) 25 100")</f>
        <v>VenW Beschikbaarheid In Zicht (BIZ) 25 100</v>
      </c>
      <c r="C208" s="3">
        <f>IFERROR(__xludf.DUMMYFUNCTION("""COMPUTED_VALUE"""),25.0)</f>
        <v>25</v>
      </c>
      <c r="D208" s="3">
        <f>IFERROR(__xludf.DUMMYFUNCTION("""COMPUTED_VALUE"""),100.0)</f>
        <v>100</v>
      </c>
      <c r="E208" s="3" t="str">
        <f>IFERROR(__xludf.DUMMYFUNCTION("""COMPUTED_VALUE"""),"NA")</f>
        <v>NA</v>
      </c>
      <c r="F208" s="3">
        <f>IFERROR(__xludf.DUMMYFUNCTION("""COMPUTED_VALUE"""),2.5)</f>
        <v>2.5</v>
      </c>
      <c r="G208" s="3">
        <f>IFERROR(__xludf.DUMMYFUNCTION("""COMPUTED_VALUE"""),25.0)</f>
        <v>25</v>
      </c>
      <c r="H208" s="3">
        <f>IFERROR(__xludf.DUMMYFUNCTION("""COMPUTED_VALUE"""),10.0)</f>
        <v>10</v>
      </c>
      <c r="I208" s="3">
        <f>IFERROR(__xludf.DUMMYFUNCTION("""COMPUTED_VALUE"""),25.0)</f>
        <v>25</v>
      </c>
      <c r="J208" s="24">
        <f>IFERROR(__xludf.DUMMYFUNCTION("""COMPUTED_VALUE"""),2.2614877223419912E7)</f>
        <v>22614877.22</v>
      </c>
      <c r="K208" s="3" t="str">
        <f>IFERROR(__xludf.DUMMYFUNCTION("""COMPUTED_VALUE"""),"MIS")</f>
        <v>MIS</v>
      </c>
      <c r="L208" s="24">
        <f>IFERROR(__xludf.DUMMYFUNCTION("""COMPUTED_VALUE"""),8462.033723480463)</f>
        <v>8462.033723</v>
      </c>
      <c r="M208" s="25">
        <f>IFERROR(__xludf.DUMMYFUNCTION("""COMPUTED_VALUE"""),0.3752629291276062)</f>
        <v>0.3752629291</v>
      </c>
      <c r="N208" s="23">
        <f>IFERROR(__xludf.DUMMYFUNCTION("""COMPUTED_VALUE"""),9.381573228190156)</f>
        <v>9.381573228</v>
      </c>
      <c r="O208" s="3"/>
      <c r="P208" s="3" t="str">
        <f>IFERROR(__xludf.DUMMYFUNCTION("""COMPUTED_VALUE"""),"cancelled")</f>
        <v>cancelled</v>
      </c>
      <c r="Q208" s="3" t="str">
        <f>IFERROR(__xludf.DUMMYFUNCTION("""COMPUTED_VALUE"""),"cancelled")</f>
        <v>cancelled</v>
      </c>
      <c r="R208" s="3"/>
      <c r="S208" s="3" t="str">
        <f>IFERROR(__xludf.DUMMYFUNCTION("""COMPUTED_VALUE"""),"")</f>
        <v/>
      </c>
      <c r="T208" s="3"/>
      <c r="U208" s="3"/>
      <c r="V208" s="3" t="str">
        <f>IFERROR(__xludf.DUMMYFUNCTION("""COMPUTED_VALUE"""),"")</f>
        <v/>
      </c>
      <c r="W208" s="3"/>
      <c r="X208" s="3" t="str">
        <f>IFERROR(__xludf.DUMMYFUNCTION("""COMPUTED_VALUE"""),"T1")</f>
        <v>T1</v>
      </c>
    </row>
    <row r="209" ht="12.75" customHeight="1">
      <c r="A209" s="3" t="str">
        <f>IFERROR(__xludf.DUMMYFUNCTION("""COMPUTED_VALUE"""),"VenW")</f>
        <v>VenW</v>
      </c>
      <c r="B209" s="3" t="str">
        <f>IFERROR(__xludf.DUMMYFUNCTION("""COMPUTED_VALUE"""),"VIP21")</f>
        <v>VIP21</v>
      </c>
      <c r="C209" s="3">
        <f>IFERROR(__xludf.DUMMYFUNCTION("""COMPUTED_VALUE"""),21.4)</f>
        <v>21.4</v>
      </c>
      <c r="D209" s="3">
        <f>IFERROR(__xludf.DUMMYFUNCTION("""COMPUTED_VALUE"""),100.0)</f>
        <v>100</v>
      </c>
      <c r="E209" s="3" t="str">
        <f>IFERROR(__xludf.DUMMYFUNCTION("""COMPUTED_VALUE"""),"2005-2008")</f>
        <v>2005-2008</v>
      </c>
      <c r="F209" s="3">
        <f>IFERROR(__xludf.DUMMYFUNCTION("""COMPUTED_VALUE"""),3.0)</f>
        <v>3</v>
      </c>
      <c r="G209" s="3">
        <f>IFERROR(__xludf.DUMMYFUNCTION("""COMPUTED_VALUE"""),21.4)</f>
        <v>21.4</v>
      </c>
      <c r="H209" s="3">
        <f>IFERROR(__xludf.DUMMYFUNCTION("""COMPUTED_VALUE"""),7.133333333333333)</f>
        <v>7.133333333</v>
      </c>
      <c r="I209" s="3">
        <f>IFERROR(__xludf.DUMMYFUNCTION("""COMPUTED_VALUE"""),21.4)</f>
        <v>21.4</v>
      </c>
      <c r="J209" s="24">
        <f>IFERROR(__xludf.DUMMYFUNCTION("""COMPUTED_VALUE"""),1.9358334903247442E7)</f>
        <v>19358334.9</v>
      </c>
      <c r="K209" s="3" t="str">
        <f>IFERROR(__xludf.DUMMYFUNCTION("""COMPUTED_VALUE"""),"MIS")</f>
        <v>MIS</v>
      </c>
      <c r="L209" s="24">
        <f>IFERROR(__xludf.DUMMYFUNCTION("""COMPUTED_VALUE"""),7603.873442588505)</f>
        <v>7603.873443</v>
      </c>
      <c r="M209" s="25">
        <f>IFERROR(__xludf.DUMMYFUNCTION("""COMPUTED_VALUE"""),0.3650675033368655)</f>
        <v>0.3650675033</v>
      </c>
      <c r="N209" s="23">
        <f>IFERROR(__xludf.DUMMYFUNCTION("""COMPUTED_VALUE"""),7.812444571408921)</f>
        <v>7.812444571</v>
      </c>
      <c r="O209" s="3"/>
      <c r="P209" s="3" t="str">
        <f>IFERROR(__xludf.DUMMYFUNCTION("""COMPUTED_VALUE"""),"cancelled")</f>
        <v>cancelled</v>
      </c>
      <c r="Q209" s="3" t="str">
        <f>IFERROR(__xludf.DUMMYFUNCTION("""COMPUTED_VALUE"""),"cancelled")</f>
        <v>cancelled</v>
      </c>
      <c r="R209" s="3"/>
      <c r="S209" s="3" t="str">
        <f>IFERROR(__xludf.DUMMYFUNCTION("""COMPUTED_VALUE"""),"")</f>
        <v/>
      </c>
      <c r="T209" s="3"/>
      <c r="U209" s="3"/>
      <c r="V209" s="3" t="str">
        <f>IFERROR(__xludf.DUMMYFUNCTION("""COMPUTED_VALUE"""),"")</f>
        <v/>
      </c>
      <c r="W209" s="3"/>
      <c r="X209" s="3" t="str">
        <f>IFERROR(__xludf.DUMMYFUNCTION("""COMPUTED_VALUE"""),"T1")</f>
        <v>T1</v>
      </c>
    </row>
    <row r="210" ht="12.75" customHeight="1">
      <c r="A210" s="3" t="str">
        <f>IFERROR(__xludf.DUMMYFUNCTION("""COMPUTED_VALUE"""),"VenW")</f>
        <v>VenW</v>
      </c>
      <c r="B210" s="3" t="str">
        <f>IFERROR(__xludf.DUMMYFUNCTION("""COMPUTED_VALUE"""),"Walradar Noordzeekanaal")</f>
        <v>Walradar Noordzeekanaal</v>
      </c>
      <c r="C210" s="3">
        <f>IFERROR(__xludf.DUMMYFUNCTION("""COMPUTED_VALUE"""),26.2)</f>
        <v>26.2</v>
      </c>
      <c r="D210" s="3">
        <f>IFERROR(__xludf.DUMMYFUNCTION("""COMPUTED_VALUE"""),80.0)</f>
        <v>80</v>
      </c>
      <c r="E210" s="3" t="str">
        <f>IFERROR(__xludf.DUMMYFUNCTION("""COMPUTED_VALUE"""),"2005-2009")</f>
        <v>2005-2009</v>
      </c>
      <c r="F210" s="3">
        <f>IFERROR(__xludf.DUMMYFUNCTION("""COMPUTED_VALUE"""),4.0)</f>
        <v>4</v>
      </c>
      <c r="G210" s="3">
        <f>IFERROR(__xludf.DUMMYFUNCTION("""COMPUTED_VALUE"""),20.96)</f>
        <v>20.96</v>
      </c>
      <c r="H210" s="3">
        <f>IFERROR(__xludf.DUMMYFUNCTION("""COMPUTED_VALUE"""),5.24)</f>
        <v>5.24</v>
      </c>
      <c r="I210" s="3">
        <f>IFERROR(__xludf.DUMMYFUNCTION("""COMPUTED_VALUE"""),20.96)</f>
        <v>20.96</v>
      </c>
      <c r="J210" s="24">
        <f>IFERROR(__xludf.DUMMYFUNCTION("""COMPUTED_VALUE"""),1.8960313064115256E7)</f>
        <v>18960313.06</v>
      </c>
      <c r="K210" s="3" t="str">
        <f>IFERROR(__xludf.DUMMYFUNCTION("""COMPUTED_VALUE"""),"MIS")</f>
        <v>MIS</v>
      </c>
      <c r="L210" s="24">
        <f>IFERROR(__xludf.DUMMYFUNCTION("""COMPUTED_VALUE"""),7496.004389775774)</f>
        <v>7496.00439</v>
      </c>
      <c r="M210" s="25">
        <f>IFERROR(__xludf.DUMMYFUNCTION("""COMPUTED_VALUE"""),0.3636831925356434)</f>
        <v>0.3636831925</v>
      </c>
      <c r="N210" s="23">
        <f>IFERROR(__xludf.DUMMYFUNCTION("""COMPUTED_VALUE"""),9.528499644433857)</f>
        <v>9.528499644</v>
      </c>
      <c r="O210" s="3"/>
      <c r="P210" s="3" t="str">
        <f>IFERROR(__xludf.DUMMYFUNCTION("""COMPUTED_VALUE"""),"cancelled")</f>
        <v>cancelled</v>
      </c>
      <c r="Q210" s="3" t="str">
        <f>IFERROR(__xludf.DUMMYFUNCTION("""COMPUTED_VALUE"""),"cancelled")</f>
        <v>cancelled</v>
      </c>
      <c r="R210" s="3"/>
      <c r="S210" s="3" t="str">
        <f>IFERROR(__xludf.DUMMYFUNCTION("""COMPUTED_VALUE"""),"")</f>
        <v/>
      </c>
      <c r="T210" s="3"/>
      <c r="U210" s="3"/>
      <c r="V210" s="3" t="str">
        <f>IFERROR(__xludf.DUMMYFUNCTION("""COMPUTED_VALUE"""),"")</f>
        <v/>
      </c>
      <c r="W210" s="3"/>
      <c r="X210" s="3" t="str">
        <f>IFERROR(__xludf.DUMMYFUNCTION("""COMPUTED_VALUE"""),"T1")</f>
        <v>T1</v>
      </c>
    </row>
    <row r="211" ht="12.75" customHeight="1">
      <c r="A211" s="3" t="str">
        <f>IFERROR(__xludf.DUMMYFUNCTION("""COMPUTED_VALUE"""),"BZK")</f>
        <v>BZK</v>
      </c>
      <c r="B211" s="3" t="str">
        <f>IFERROR(__xludf.DUMMYFUNCTION("""COMPUTED_VALUE"""),"Basisvoorziening Handhaving (BVH)")</f>
        <v>Basisvoorziening Handhaving (BVH)</v>
      </c>
      <c r="C211" s="3">
        <f>IFERROR(__xludf.DUMMYFUNCTION("""COMPUTED_VALUE"""),15.0)</f>
        <v>15</v>
      </c>
      <c r="D211" s="3">
        <f>IFERROR(__xludf.DUMMYFUNCTION("""COMPUTED_VALUE"""),100.0)</f>
        <v>100</v>
      </c>
      <c r="E211" s="3" t="str">
        <f>IFERROR(__xludf.DUMMYFUNCTION("""COMPUTED_VALUE"""),"Mar 2007 - Sep 2009")</f>
        <v>Mar 2007 - Sep 2009</v>
      </c>
      <c r="F211" s="3">
        <f>IFERROR(__xludf.DUMMYFUNCTION("""COMPUTED_VALUE"""),2.6)</f>
        <v>2.6</v>
      </c>
      <c r="G211" s="3">
        <f>IFERROR(__xludf.DUMMYFUNCTION("""COMPUTED_VALUE"""),15.0)</f>
        <v>15</v>
      </c>
      <c r="H211" s="3">
        <f>IFERROR(__xludf.DUMMYFUNCTION("""COMPUTED_VALUE"""),5.769230769230769)</f>
        <v>5.769230769</v>
      </c>
      <c r="I211" s="3">
        <f>IFERROR(__xludf.DUMMYFUNCTION("""COMPUTED_VALUE"""),15.0)</f>
        <v>15</v>
      </c>
      <c r="J211" s="24">
        <f>IFERROR(__xludf.DUMMYFUNCTION("""COMPUTED_VALUE"""),1.3568926334051948E7)</f>
        <v>13568926.33</v>
      </c>
      <c r="K211" s="3" t="str">
        <f>IFERROR(__xludf.DUMMYFUNCTION("""COMPUTED_VALUE"""),"MIS")</f>
        <v>MIS</v>
      </c>
      <c r="L211" s="24">
        <f>IFERROR(__xludf.DUMMYFUNCTION("""COMPUTED_VALUE"""),5955.284774161196)</f>
        <v>5955.284774</v>
      </c>
      <c r="M211" s="25">
        <f>IFERROR(__xludf.DUMMYFUNCTION("""COMPUTED_VALUE"""),0.3408110430845429)</f>
        <v>0.3408110431</v>
      </c>
      <c r="N211" s="23">
        <f>IFERROR(__xludf.DUMMYFUNCTION("""COMPUTED_VALUE"""),5.112165646268144)</f>
        <v>5.112165646</v>
      </c>
      <c r="O211" s="3"/>
      <c r="P211" s="3" t="str">
        <f>IFERROR(__xludf.DUMMYFUNCTION("""COMPUTED_VALUE"""),"cancelled")</f>
        <v>cancelled</v>
      </c>
      <c r="Q211" s="3" t="str">
        <f>IFERROR(__xludf.DUMMYFUNCTION("""COMPUTED_VALUE"""),"cancelled")</f>
        <v>cancelled</v>
      </c>
      <c r="R211" s="3"/>
      <c r="S211" s="3" t="str">
        <f>IFERROR(__xludf.DUMMYFUNCTION("""COMPUTED_VALUE"""),"")</f>
        <v/>
      </c>
      <c r="T211" s="3"/>
      <c r="U211" s="3"/>
      <c r="V211" s="3" t="str">
        <f>IFERROR(__xludf.DUMMYFUNCTION("""COMPUTED_VALUE"""),"")</f>
        <v/>
      </c>
      <c r="W211" s="3"/>
      <c r="X211" s="3" t="str">
        <f>IFERROR(__xludf.DUMMYFUNCTION("""COMPUTED_VALUE"""),"T1")</f>
        <v>T1</v>
      </c>
    </row>
    <row r="212" ht="12.75" customHeight="1">
      <c r="A212" s="3" t="str">
        <f>IFERROR(__xludf.DUMMYFUNCTION("""COMPUTED_VALUE"""),"BZK")</f>
        <v>BZK</v>
      </c>
      <c r="B212" s="3" t="str">
        <f>IFERROR(__xludf.DUMMYFUNCTION("""COMPUTED_VALUE"""),"HAVANK")</f>
        <v>HAVANK</v>
      </c>
      <c r="C212" s="3">
        <f>IFERROR(__xludf.DUMMYFUNCTION("""COMPUTED_VALUE"""),30.0)</f>
        <v>30</v>
      </c>
      <c r="D212" s="3">
        <f>IFERROR(__xludf.DUMMYFUNCTION("""COMPUTED_VALUE"""),50.0)</f>
        <v>50</v>
      </c>
      <c r="E212" s="3" t="str">
        <f>IFERROR(__xludf.DUMMYFUNCTION("""COMPUTED_VALUE"""),"t/m 2009")</f>
        <v>t/m 2009</v>
      </c>
      <c r="F212" s="3">
        <f>IFERROR(__xludf.DUMMYFUNCTION("""COMPUTED_VALUE"""),3.383138410675652)</f>
        <v>3.383138411</v>
      </c>
      <c r="G212" s="3">
        <f>IFERROR(__xludf.DUMMYFUNCTION("""COMPUTED_VALUE"""),15.0)</f>
        <v>15</v>
      </c>
      <c r="H212" s="3">
        <f>IFERROR(__xludf.DUMMYFUNCTION("""COMPUTED_VALUE"""),4.433752977018853)</f>
        <v>4.433752977</v>
      </c>
      <c r="I212" s="3">
        <f>IFERROR(__xludf.DUMMYFUNCTION("""COMPUTED_VALUE"""),15.0)</f>
        <v>15</v>
      </c>
      <c r="J212" s="24">
        <f>IFERROR(__xludf.DUMMYFUNCTION("""COMPUTED_VALUE"""),1.3568926334051948E7)</f>
        <v>13568926.33</v>
      </c>
      <c r="K212" s="3" t="str">
        <f>IFERROR(__xludf.DUMMYFUNCTION("""COMPUTED_VALUE"""),"MIS")</f>
        <v>MIS</v>
      </c>
      <c r="L212" s="24">
        <f>IFERROR(__xludf.DUMMYFUNCTION("""COMPUTED_VALUE"""),5955.284774161196)</f>
        <v>5955.284774</v>
      </c>
      <c r="M212" s="25">
        <f>IFERROR(__xludf.DUMMYFUNCTION("""COMPUTED_VALUE"""),0.3408110430845429)</f>
        <v>0.3408110431</v>
      </c>
      <c r="N212" s="23">
        <f>IFERROR(__xludf.DUMMYFUNCTION("""COMPUTED_VALUE"""),10.224331292536288)</f>
        <v>10.22433129</v>
      </c>
      <c r="O212" s="3"/>
      <c r="P212" s="3" t="str">
        <f>IFERROR(__xludf.DUMMYFUNCTION("""COMPUTED_VALUE"""),"cancelled")</f>
        <v>cancelled</v>
      </c>
      <c r="Q212" s="3" t="str">
        <f>IFERROR(__xludf.DUMMYFUNCTION("""COMPUTED_VALUE"""),"cancelled")</f>
        <v>cancelled</v>
      </c>
      <c r="R212" s="3"/>
      <c r="S212" s="3" t="str">
        <f>IFERROR(__xludf.DUMMYFUNCTION("""COMPUTED_VALUE"""),"")</f>
        <v/>
      </c>
      <c r="T212" s="3"/>
      <c r="U212" s="3"/>
      <c r="V212" s="3" t="str">
        <f>IFERROR(__xludf.DUMMYFUNCTION("""COMPUTED_VALUE"""),"")</f>
        <v/>
      </c>
      <c r="W212" s="3"/>
      <c r="X212" s="3" t="str">
        <f>IFERROR(__xludf.DUMMYFUNCTION("""COMPUTED_VALUE"""),"T1")</f>
        <v>T1</v>
      </c>
    </row>
    <row r="213" ht="12.75" customHeight="1">
      <c r="A213" s="3" t="str">
        <f>IFERROR(__xludf.DUMMYFUNCTION("""COMPUTED_VALUE"""),"VenW")</f>
        <v>VenW</v>
      </c>
      <c r="B213" s="3" t="str">
        <f>IFERROR(__xludf.DUMMYFUNCTION("""COMPUTED_VALUE"""),"ASTRIS")</f>
        <v>ASTRIS</v>
      </c>
      <c r="C213" s="3">
        <f>IFERROR(__xludf.DUMMYFUNCTION("""COMPUTED_VALUE"""),20.5)</f>
        <v>20.5</v>
      </c>
      <c r="D213" s="3">
        <f>IFERROR(__xludf.DUMMYFUNCTION("""COMPUTED_VALUE"""),70.0)</f>
        <v>70</v>
      </c>
      <c r="E213" s="3" t="str">
        <f>IFERROR(__xludf.DUMMYFUNCTION("""COMPUTED_VALUE"""),"2007-2011")</f>
        <v>2007-2011</v>
      </c>
      <c r="F213" s="3">
        <f>IFERROR(__xludf.DUMMYFUNCTION("""COMPUTED_VALUE"""),4.0)</f>
        <v>4</v>
      </c>
      <c r="G213" s="3">
        <f>IFERROR(__xludf.DUMMYFUNCTION("""COMPUTED_VALUE"""),14.35)</f>
        <v>14.35</v>
      </c>
      <c r="H213" s="3">
        <f>IFERROR(__xludf.DUMMYFUNCTION("""COMPUTED_VALUE"""),3.5875)</f>
        <v>3.5875</v>
      </c>
      <c r="I213" s="3">
        <f>IFERROR(__xludf.DUMMYFUNCTION("""COMPUTED_VALUE"""),14.35)</f>
        <v>14.35</v>
      </c>
      <c r="J213" s="24">
        <f>IFERROR(__xludf.DUMMYFUNCTION("""COMPUTED_VALUE"""),1.298093952624303E7)</f>
        <v>12980939.53</v>
      </c>
      <c r="K213" s="3" t="str">
        <f>IFERROR(__xludf.DUMMYFUNCTION("""COMPUTED_VALUE"""),"MIS")</f>
        <v>MIS</v>
      </c>
      <c r="L213" s="24">
        <f>IFERROR(__xludf.DUMMYFUNCTION("""COMPUTED_VALUE"""),5776.583224076942)</f>
        <v>5776.583224</v>
      </c>
      <c r="M213" s="25">
        <f>IFERROR(__xludf.DUMMYFUNCTION("""COMPUTED_VALUE"""),0.3377159502927585)</f>
        <v>0.3377159503</v>
      </c>
      <c r="N213" s="23">
        <f>IFERROR(__xludf.DUMMYFUNCTION("""COMPUTED_VALUE"""),6.92317698100155)</f>
        <v>6.923176981</v>
      </c>
      <c r="O213" s="3"/>
      <c r="P213" s="3" t="str">
        <f>IFERROR(__xludf.DUMMYFUNCTION("""COMPUTED_VALUE"""),"cancelled")</f>
        <v>cancelled</v>
      </c>
      <c r="Q213" s="3" t="str">
        <f>IFERROR(__xludf.DUMMYFUNCTION("""COMPUTED_VALUE"""),"cancelled")</f>
        <v>cancelled</v>
      </c>
      <c r="R213" s="3"/>
      <c r="S213" s="3" t="str">
        <f>IFERROR(__xludf.DUMMYFUNCTION("""COMPUTED_VALUE"""),"")</f>
        <v/>
      </c>
      <c r="T213" s="3"/>
      <c r="U213" s="3"/>
      <c r="V213" s="3" t="str">
        <f>IFERROR(__xludf.DUMMYFUNCTION("""COMPUTED_VALUE"""),"")</f>
        <v/>
      </c>
      <c r="W213" s="3"/>
      <c r="X213" s="3" t="str">
        <f>IFERROR(__xludf.DUMMYFUNCTION("""COMPUTED_VALUE"""),"T1")</f>
        <v>T1</v>
      </c>
    </row>
    <row r="214" ht="12.75" customHeight="1">
      <c r="A214" s="3" t="str">
        <f>IFERROR(__xludf.DUMMYFUNCTION("""COMPUTED_VALUE"""),"VenW")</f>
        <v>VenW</v>
      </c>
      <c r="B214" s="3" t="str">
        <f>IFERROR(__xludf.DUMMYFUNCTION("""COMPUTED_VALUE"""),"Trots")</f>
        <v>Trots</v>
      </c>
      <c r="C214" s="3">
        <f>IFERROR(__xludf.DUMMYFUNCTION("""COMPUTED_VALUE"""),18.7)</f>
        <v>18.7</v>
      </c>
      <c r="D214" s="3">
        <f>IFERROR(__xludf.DUMMYFUNCTION("""COMPUTED_VALUE"""),70.0)</f>
        <v>70</v>
      </c>
      <c r="E214" s="3" t="str">
        <f>IFERROR(__xludf.DUMMYFUNCTION("""COMPUTED_VALUE"""),"2004-2009")</f>
        <v>2004-2009</v>
      </c>
      <c r="F214" s="3">
        <f>IFERROR(__xludf.DUMMYFUNCTION("""COMPUTED_VALUE"""),5.0)</f>
        <v>5</v>
      </c>
      <c r="G214" s="3">
        <f>IFERROR(__xludf.DUMMYFUNCTION("""COMPUTED_VALUE"""),13.09)</f>
        <v>13.09</v>
      </c>
      <c r="H214" s="3">
        <f>IFERROR(__xludf.DUMMYFUNCTION("""COMPUTED_VALUE"""),2.618)</f>
        <v>2.618</v>
      </c>
      <c r="I214" s="3">
        <f>IFERROR(__xludf.DUMMYFUNCTION("""COMPUTED_VALUE"""),13.09)</f>
        <v>13.09</v>
      </c>
      <c r="J214" s="24">
        <f>IFERROR(__xludf.DUMMYFUNCTION("""COMPUTED_VALUE"""),1.1841149714182666E7)</f>
        <v>11841149.71</v>
      </c>
      <c r="K214" s="3" t="str">
        <f>IFERROR(__xludf.DUMMYFUNCTION("""COMPUTED_VALUE"""),"MIS")</f>
        <v>MIS</v>
      </c>
      <c r="L214" s="24">
        <f>IFERROR(__xludf.DUMMYFUNCTION("""COMPUTED_VALUE"""),5422.782026500369)</f>
        <v>5422.782027</v>
      </c>
      <c r="M214" s="25">
        <f>IFERROR(__xludf.DUMMYFUNCTION("""COMPUTED_VALUE"""),0.3312587248089021)</f>
        <v>0.3312587248</v>
      </c>
      <c r="N214" s="23">
        <f>IFERROR(__xludf.DUMMYFUNCTION("""COMPUTED_VALUE"""),6.1945381539264694)</f>
        <v>6.194538154</v>
      </c>
      <c r="O214" s="3"/>
      <c r="P214" s="3" t="str">
        <f>IFERROR(__xludf.DUMMYFUNCTION("""COMPUTED_VALUE"""),"cancelled")</f>
        <v>cancelled</v>
      </c>
      <c r="Q214" s="3" t="str">
        <f>IFERROR(__xludf.DUMMYFUNCTION("""COMPUTED_VALUE"""),"cancelled")</f>
        <v>cancelled</v>
      </c>
      <c r="R214" s="3"/>
      <c r="S214" s="3" t="str">
        <f>IFERROR(__xludf.DUMMYFUNCTION("""COMPUTED_VALUE"""),"")</f>
        <v/>
      </c>
      <c r="T214" s="3"/>
      <c r="U214" s="3"/>
      <c r="V214" s="3" t="str">
        <f>IFERROR(__xludf.DUMMYFUNCTION("""COMPUTED_VALUE"""),"")</f>
        <v/>
      </c>
      <c r="W214" s="3"/>
      <c r="X214" s="3" t="str">
        <f>IFERROR(__xludf.DUMMYFUNCTION("""COMPUTED_VALUE"""),"T1")</f>
        <v>T1</v>
      </c>
    </row>
    <row r="215" ht="12.75" customHeight="1">
      <c r="A215" s="3" t="str">
        <f>IFERROR(__xludf.DUMMYFUNCTION("""COMPUTED_VALUE"""),"SZW")</f>
        <v>SZW</v>
      </c>
      <c r="B215" s="3" t="str">
        <f>IFERROR(__xludf.DUMMYFUNCTION("""COMPUTED_VALUE"""),"Digitaal Verzekeringsbericht (UWV)")</f>
        <v>Digitaal Verzekeringsbericht (UWV)</v>
      </c>
      <c r="C215" s="3">
        <f>IFERROR(__xludf.DUMMYFUNCTION("""COMPUTED_VALUE"""),20.6)</f>
        <v>20.6</v>
      </c>
      <c r="D215" s="3">
        <f>IFERROR(__xludf.DUMMYFUNCTION("""COMPUTED_VALUE"""),60.0)</f>
        <v>60</v>
      </c>
      <c r="E215" s="3" t="str">
        <f>IFERROR(__xludf.DUMMYFUNCTION("""COMPUTED_VALUE"""),"Sept 2006 - Q1 2009")</f>
        <v>Sept 2006 - Q1 2009</v>
      </c>
      <c r="F215" s="3">
        <f>IFERROR(__xludf.DUMMYFUNCTION("""COMPUTED_VALUE"""),2.5)</f>
        <v>2.5</v>
      </c>
      <c r="G215" s="3">
        <f>IFERROR(__xludf.DUMMYFUNCTION("""COMPUTED_VALUE"""),12.36)</f>
        <v>12.36</v>
      </c>
      <c r="H215" s="3">
        <f>IFERROR(__xludf.DUMMYFUNCTION("""COMPUTED_VALUE"""),4.944)</f>
        <v>4.944</v>
      </c>
      <c r="I215" s="3">
        <f>IFERROR(__xludf.DUMMYFUNCTION("""COMPUTED_VALUE"""),12.36)</f>
        <v>12.36</v>
      </c>
      <c r="J215" s="24">
        <f>IFERROR(__xludf.DUMMYFUNCTION("""COMPUTED_VALUE"""),1.1180795299258804E7)</f>
        <v>11180795.3</v>
      </c>
      <c r="K215" s="3" t="str">
        <f>IFERROR(__xludf.DUMMYFUNCTION("""COMPUTED_VALUE"""),"MIS")</f>
        <v>MIS</v>
      </c>
      <c r="L215" s="24">
        <f>IFERROR(__xludf.DUMMYFUNCTION("""COMPUTED_VALUE"""),5212.944338740906)</f>
        <v>5212.944339</v>
      </c>
      <c r="M215" s="25">
        <f>IFERROR(__xludf.DUMMYFUNCTION("""COMPUTED_VALUE"""),0.3272055679916121)</f>
        <v>0.327205568</v>
      </c>
      <c r="N215" s="23">
        <f>IFERROR(__xludf.DUMMYFUNCTION("""COMPUTED_VALUE"""),6.74043470062721)</f>
        <v>6.740434701</v>
      </c>
      <c r="O215" s="3"/>
      <c r="P215" s="3" t="str">
        <f>IFERROR(__xludf.DUMMYFUNCTION("""COMPUTED_VALUE"""),"cancelled")</f>
        <v>cancelled</v>
      </c>
      <c r="Q215" s="3" t="str">
        <f>IFERROR(__xludf.DUMMYFUNCTION("""COMPUTED_VALUE"""),"cancelled")</f>
        <v>cancelled</v>
      </c>
      <c r="R215" s="3"/>
      <c r="S215" s="3" t="str">
        <f>IFERROR(__xludf.DUMMYFUNCTION("""COMPUTED_VALUE"""),"")</f>
        <v/>
      </c>
      <c r="T215" s="3"/>
      <c r="U215" s="3"/>
      <c r="V215" s="3" t="str">
        <f>IFERROR(__xludf.DUMMYFUNCTION("""COMPUTED_VALUE"""),"")</f>
        <v/>
      </c>
      <c r="W215" s="3"/>
      <c r="X215" s="3" t="str">
        <f>IFERROR(__xludf.DUMMYFUNCTION("""COMPUTED_VALUE"""),"T1")</f>
        <v>T1</v>
      </c>
    </row>
    <row r="216" ht="12.75" customHeight="1">
      <c r="A216" s="3" t="str">
        <f>IFERROR(__xludf.DUMMYFUNCTION("""COMPUTED_VALUE"""),"VenW")</f>
        <v>VenW</v>
      </c>
      <c r="B216" s="3" t="str">
        <f>IFERROR(__xludf.DUMMYFUNCTION("""COMPUTED_VALUE"""),"DONNA")</f>
        <v>DONNA</v>
      </c>
      <c r="C216" s="3">
        <f>IFERROR(__xludf.DUMMYFUNCTION("""COMPUTED_VALUE"""),20.0)</f>
        <v>20</v>
      </c>
      <c r="D216" s="3">
        <f>IFERROR(__xludf.DUMMYFUNCTION("""COMPUTED_VALUE"""),60.0)</f>
        <v>60</v>
      </c>
      <c r="E216" s="3" t="str">
        <f>IFERROR(__xludf.DUMMYFUNCTION("""COMPUTED_VALUE"""),"till medio 2009")</f>
        <v>till medio 2009</v>
      </c>
      <c r="F216" s="3">
        <f>IFERROR(__xludf.DUMMYFUNCTION("""COMPUTED_VALUE"""),3.1703032137248925)</f>
        <v>3.170303214</v>
      </c>
      <c r="G216" s="3">
        <f>IFERROR(__xludf.DUMMYFUNCTION("""COMPUTED_VALUE"""),12.0)</f>
        <v>12</v>
      </c>
      <c r="H216" s="3">
        <f>IFERROR(__xludf.DUMMYFUNCTION("""COMPUTED_VALUE"""),3.7851269077511387)</f>
        <v>3.785126908</v>
      </c>
      <c r="I216" s="3">
        <f>IFERROR(__xludf.DUMMYFUNCTION("""COMPUTED_VALUE"""),12.0)</f>
        <v>12</v>
      </c>
      <c r="J216" s="24">
        <f>IFERROR(__xludf.DUMMYFUNCTION("""COMPUTED_VALUE"""),1.0855141067241557E7)</f>
        <v>10855141.07</v>
      </c>
      <c r="K216" s="3" t="str">
        <f>IFERROR(__xludf.DUMMYFUNCTION("""COMPUTED_VALUE"""),"MIS")</f>
        <v>MIS</v>
      </c>
      <c r="L216" s="24">
        <f>IFERROR(__xludf.DUMMYFUNCTION("""COMPUTED_VALUE"""),5108.0428637128425)</f>
        <v>5108.042864</v>
      </c>
      <c r="M216" s="25">
        <f>IFERROR(__xludf.DUMMYFUNCTION("""COMPUTED_VALUE"""),0.32511235455841686)</f>
        <v>0.3251123546</v>
      </c>
      <c r="N216" s="23">
        <f>IFERROR(__xludf.DUMMYFUNCTION("""COMPUTED_VALUE"""),6.502247091168337)</f>
        <v>6.502247091</v>
      </c>
      <c r="O216" s="3"/>
      <c r="P216" s="3" t="str">
        <f>IFERROR(__xludf.DUMMYFUNCTION("""COMPUTED_VALUE"""),"cancelled")</f>
        <v>cancelled</v>
      </c>
      <c r="Q216" s="3" t="str">
        <f>IFERROR(__xludf.DUMMYFUNCTION("""COMPUTED_VALUE"""),"cancelled")</f>
        <v>cancelled</v>
      </c>
      <c r="R216" s="3"/>
      <c r="S216" s="3" t="str">
        <f>IFERROR(__xludf.DUMMYFUNCTION("""COMPUTED_VALUE"""),"")</f>
        <v/>
      </c>
      <c r="T216" s="3"/>
      <c r="U216" s="3"/>
      <c r="V216" s="3" t="str">
        <f>IFERROR(__xludf.DUMMYFUNCTION("""COMPUTED_VALUE"""),"")</f>
        <v/>
      </c>
      <c r="W216" s="3"/>
      <c r="X216" s="3" t="str">
        <f>IFERROR(__xludf.DUMMYFUNCTION("""COMPUTED_VALUE"""),"T1")</f>
        <v>T1</v>
      </c>
    </row>
    <row r="217" ht="12.75" customHeight="1">
      <c r="A217" s="3" t="str">
        <f>IFERROR(__xludf.DUMMYFUNCTION("""COMPUTED_VALUE"""),"BZK")</f>
        <v>BZK</v>
      </c>
      <c r="B217" s="3" t="str">
        <f>IFERROR(__xludf.DUMMYFUNCTION("""COMPUTED_VALUE"""),"Basisvoorziening Opsporing (BVO)")</f>
        <v>Basisvoorziening Opsporing (BVO)</v>
      </c>
      <c r="C217" s="3">
        <f>IFERROR(__xludf.DUMMYFUNCTION("""COMPUTED_VALUE"""),12.0)</f>
        <v>12</v>
      </c>
      <c r="D217" s="3">
        <f>IFERROR(__xludf.DUMMYFUNCTION("""COMPUTED_VALUE"""),85.0)</f>
        <v>85</v>
      </c>
      <c r="E217" s="3" t="str">
        <f>IFERROR(__xludf.DUMMYFUNCTION("""COMPUTED_VALUE"""),"Jan 2007 - medio 2008")</f>
        <v>Jan 2007 - medio 2008</v>
      </c>
      <c r="F217" s="3">
        <f>IFERROR(__xludf.DUMMYFUNCTION("""COMPUTED_VALUE"""),1.5)</f>
        <v>1.5</v>
      </c>
      <c r="G217" s="3">
        <f>IFERROR(__xludf.DUMMYFUNCTION("""COMPUTED_VALUE"""),10.2)</f>
        <v>10.2</v>
      </c>
      <c r="H217" s="3">
        <f>IFERROR(__xludf.DUMMYFUNCTION("""COMPUTED_VALUE"""),6.8)</f>
        <v>6.8</v>
      </c>
      <c r="I217" s="3">
        <f>IFERROR(__xludf.DUMMYFUNCTION("""COMPUTED_VALUE"""),10.2)</f>
        <v>10.2</v>
      </c>
      <c r="J217" s="24">
        <f>IFERROR(__xludf.DUMMYFUNCTION("""COMPUTED_VALUE"""),9226869.907155324)</f>
        <v>9226869.907</v>
      </c>
      <c r="K217" s="3" t="str">
        <f>IFERROR(__xludf.DUMMYFUNCTION("""COMPUTED_VALUE"""),"MIS")</f>
        <v>MIS</v>
      </c>
      <c r="L217" s="24">
        <f>IFERROR(__xludf.DUMMYFUNCTION("""COMPUTED_VALUE"""),4567.87019695871)</f>
        <v>4567.870197</v>
      </c>
      <c r="M217" s="25">
        <f>IFERROR(__xludf.DUMMYFUNCTION("""COMPUTED_VALUE"""),0.31355483633889736)</f>
        <v>0.3135548363</v>
      </c>
      <c r="N217" s="23">
        <f>IFERROR(__xludf.DUMMYFUNCTION("""COMPUTED_VALUE"""),3.7626580360667687)</f>
        <v>3.762658036</v>
      </c>
      <c r="O217" s="3"/>
      <c r="P217" s="3" t="str">
        <f>IFERROR(__xludf.DUMMYFUNCTION("""COMPUTED_VALUE"""),"cancelled")</f>
        <v>cancelled</v>
      </c>
      <c r="Q217" s="3" t="str">
        <f>IFERROR(__xludf.DUMMYFUNCTION("""COMPUTED_VALUE"""),"cancelled")</f>
        <v>cancelled</v>
      </c>
      <c r="R217" s="3"/>
      <c r="S217" s="3" t="str">
        <f>IFERROR(__xludf.DUMMYFUNCTION("""COMPUTED_VALUE"""),"")</f>
        <v/>
      </c>
      <c r="T217" s="3"/>
      <c r="U217" s="3"/>
      <c r="V217" s="3" t="str">
        <f>IFERROR(__xludf.DUMMYFUNCTION("""COMPUTED_VALUE"""),"")</f>
        <v/>
      </c>
      <c r="W217" s="3"/>
      <c r="X217" s="3" t="str">
        <f>IFERROR(__xludf.DUMMYFUNCTION("""COMPUTED_VALUE"""),"T1")</f>
        <v>T1</v>
      </c>
    </row>
    <row r="218" ht="12.75" customHeight="1">
      <c r="A218" s="3" t="str">
        <f>IFERROR(__xludf.DUMMYFUNCTION("""COMPUTED_VALUE"""),"EZ")</f>
        <v>EZ</v>
      </c>
      <c r="B218" s="3" t="str">
        <f>IFERROR(__xludf.DUMMYFUNCTION("""COMPUTED_VALUE"""),"Nieuw handelsregister")</f>
        <v>Nieuw handelsregister</v>
      </c>
      <c r="C218" s="3">
        <f>IFERROR(__xludf.DUMMYFUNCTION("""COMPUTED_VALUE"""),20.0)</f>
        <v>20</v>
      </c>
      <c r="D218" s="3">
        <f>IFERROR(__xludf.DUMMYFUNCTION("""COMPUTED_VALUE"""),50.0)</f>
        <v>50</v>
      </c>
      <c r="E218" s="3" t="str">
        <f>IFERROR(__xludf.DUMMYFUNCTION("""COMPUTED_VALUE"""),"2002-2010")</f>
        <v>2002-2010</v>
      </c>
      <c r="F218" s="3">
        <f>IFERROR(__xludf.DUMMYFUNCTION("""COMPUTED_VALUE"""),8.0)</f>
        <v>8</v>
      </c>
      <c r="G218" s="3">
        <f>IFERROR(__xludf.DUMMYFUNCTION("""COMPUTED_VALUE"""),10.0)</f>
        <v>10</v>
      </c>
      <c r="H218" s="3">
        <f>IFERROR(__xludf.DUMMYFUNCTION("""COMPUTED_VALUE"""),1.25)</f>
        <v>1.25</v>
      </c>
      <c r="I218" s="3">
        <f>IFERROR(__xludf.DUMMYFUNCTION("""COMPUTED_VALUE"""),10.0)</f>
        <v>10</v>
      </c>
      <c r="J218" s="24">
        <f>IFERROR(__xludf.DUMMYFUNCTION("""COMPUTED_VALUE"""),9045950.889367966)</f>
        <v>9045950.889</v>
      </c>
      <c r="K218" s="3" t="str">
        <f>IFERROR(__xludf.DUMMYFUNCTION("""COMPUTED_VALUE"""),"MIS")</f>
        <v>MIS</v>
      </c>
      <c r="L218" s="24">
        <f>IFERROR(__xludf.DUMMYFUNCTION("""COMPUTED_VALUE"""),4506.082629534144)</f>
        <v>4506.08263</v>
      </c>
      <c r="M218" s="25">
        <f>IFERROR(__xludf.DUMMYFUNCTION("""COMPUTED_VALUE"""),0.31214254580019446)</f>
        <v>0.3121425458</v>
      </c>
      <c r="N218" s="23">
        <f>IFERROR(__xludf.DUMMYFUNCTION("""COMPUTED_VALUE"""),6.242850916003889)</f>
        <v>6.242850916</v>
      </c>
      <c r="O218" s="3"/>
      <c r="P218" s="3" t="str">
        <f>IFERROR(__xludf.DUMMYFUNCTION("""COMPUTED_VALUE"""),"cancelled")</f>
        <v>cancelled</v>
      </c>
      <c r="Q218" s="3" t="str">
        <f>IFERROR(__xludf.DUMMYFUNCTION("""COMPUTED_VALUE"""),"cancelled")</f>
        <v>cancelled</v>
      </c>
      <c r="R218" s="3"/>
      <c r="S218" s="3" t="str">
        <f>IFERROR(__xludf.DUMMYFUNCTION("""COMPUTED_VALUE"""),"")</f>
        <v/>
      </c>
      <c r="T218" s="3"/>
      <c r="U218" s="3"/>
      <c r="V218" s="3" t="str">
        <f>IFERROR(__xludf.DUMMYFUNCTION("""COMPUTED_VALUE"""),"")</f>
        <v/>
      </c>
      <c r="W218" s="3"/>
      <c r="X218" s="3" t="str">
        <f>IFERROR(__xludf.DUMMYFUNCTION("""COMPUTED_VALUE"""),"T1")</f>
        <v>T1</v>
      </c>
    </row>
    <row r="219" ht="12.75" customHeight="1">
      <c r="A219" s="3" t="str">
        <f>IFERROR(__xludf.DUMMYFUNCTION("""COMPUTED_VALUE"""),"BZK")</f>
        <v>BZK</v>
      </c>
      <c r="B219" s="3" t="str">
        <f>IFERROR(__xludf.DUMMYFUNCTION("""COMPUTED_VALUE"""),"Basisvoorziening Capaciteitsmanagement (BVCM)")</f>
        <v>Basisvoorziening Capaciteitsmanagement (BVCM)</v>
      </c>
      <c r="C219" s="3">
        <f>IFERROR(__xludf.DUMMYFUNCTION("""COMPUTED_VALUE"""),19.0)</f>
        <v>19</v>
      </c>
      <c r="D219" s="3">
        <f>IFERROR(__xludf.DUMMYFUNCTION("""COMPUTED_VALUE"""),51.0)</f>
        <v>51</v>
      </c>
      <c r="E219" s="3" t="str">
        <f>IFERROR(__xludf.DUMMYFUNCTION("""COMPUTED_VALUE"""),"Mar 2007 - Jul 2009")</f>
        <v>Mar 2007 - Jul 2009</v>
      </c>
      <c r="F219" s="3">
        <f>IFERROR(__xludf.DUMMYFUNCTION("""COMPUTED_VALUE"""),2.5)</f>
        <v>2.5</v>
      </c>
      <c r="G219" s="3">
        <f>IFERROR(__xludf.DUMMYFUNCTION("""COMPUTED_VALUE"""),9.69)</f>
        <v>9.69</v>
      </c>
      <c r="H219" s="3">
        <f>IFERROR(__xludf.DUMMYFUNCTION("""COMPUTED_VALUE"""),3.876)</f>
        <v>3.876</v>
      </c>
      <c r="I219" s="3">
        <f>IFERROR(__xludf.DUMMYFUNCTION("""COMPUTED_VALUE"""),9.69)</f>
        <v>9.69</v>
      </c>
      <c r="J219" s="24">
        <f>IFERROR(__xludf.DUMMYFUNCTION("""COMPUTED_VALUE"""),8765526.411797557)</f>
        <v>8765526.412</v>
      </c>
      <c r="K219" s="3" t="str">
        <f>IFERROR(__xludf.DUMMYFUNCTION("""COMPUTED_VALUE"""),"MIS")</f>
        <v>MIS</v>
      </c>
      <c r="L219" s="24">
        <f>IFERROR(__xludf.DUMMYFUNCTION("""COMPUTED_VALUE"""),4409.543096428042)</f>
        <v>4409.543096</v>
      </c>
      <c r="M219" s="25">
        <f>IFERROR(__xludf.DUMMYFUNCTION("""COMPUTED_VALUE"""),0.3098955921903994)</f>
        <v>0.3098955922</v>
      </c>
      <c r="N219" s="23">
        <f>IFERROR(__xludf.DUMMYFUNCTION("""COMPUTED_VALUE"""),5.888016251617589)</f>
        <v>5.888016252</v>
      </c>
      <c r="O219" s="3"/>
      <c r="P219" s="3" t="str">
        <f>IFERROR(__xludf.DUMMYFUNCTION("""COMPUTED_VALUE"""),"cancelled")</f>
        <v>cancelled</v>
      </c>
      <c r="Q219" s="3" t="str">
        <f>IFERROR(__xludf.DUMMYFUNCTION("""COMPUTED_VALUE"""),"cancelled")</f>
        <v>cancelled</v>
      </c>
      <c r="R219" s="3"/>
      <c r="S219" s="3" t="str">
        <f>IFERROR(__xludf.DUMMYFUNCTION("""COMPUTED_VALUE"""),"")</f>
        <v/>
      </c>
      <c r="T219" s="3"/>
      <c r="U219" s="3"/>
      <c r="V219" s="3" t="str">
        <f>IFERROR(__xludf.DUMMYFUNCTION("""COMPUTED_VALUE"""),"")</f>
        <v/>
      </c>
      <c r="W219" s="3"/>
      <c r="X219" s="3" t="str">
        <f>IFERROR(__xludf.DUMMYFUNCTION("""COMPUTED_VALUE"""),"T1")</f>
        <v>T1</v>
      </c>
    </row>
    <row r="220" ht="12.75" customHeight="1">
      <c r="A220" s="3" t="str">
        <f>IFERROR(__xludf.DUMMYFUNCTION("""COMPUTED_VALUE"""),"DEF")</f>
        <v>DEF</v>
      </c>
      <c r="B220" s="3" t="str">
        <f>IFERROR(__xludf.DUMMYFUNCTION("""COMPUTED_VALUE"""),"Battlefield Management System (BMS)")</f>
        <v>Battlefield Management System (BMS)</v>
      </c>
      <c r="C220" s="3">
        <f>IFERROR(__xludf.DUMMYFUNCTION("""COMPUTED_VALUE"""),75.0)</f>
        <v>75</v>
      </c>
      <c r="D220" s="3">
        <f>IFERROR(__xludf.DUMMYFUNCTION("""COMPUTED_VALUE"""),70.0)</f>
        <v>70</v>
      </c>
      <c r="E220" s="3" t="str">
        <f>IFERROR(__xludf.DUMMYFUNCTION("""COMPUTED_VALUE"""),"2006-2012")</f>
        <v>2006-2012</v>
      </c>
      <c r="F220" s="3">
        <f>IFERROR(__xludf.DUMMYFUNCTION("""COMPUTED_VALUE"""),6.0)</f>
        <v>6</v>
      </c>
      <c r="G220" s="3">
        <f>IFERROR(__xludf.DUMMYFUNCTION("""COMPUTED_VALUE"""),52.5)</f>
        <v>52.5</v>
      </c>
      <c r="H220" s="3">
        <f>IFERROR(__xludf.DUMMYFUNCTION("""COMPUTED_VALUE"""),8.75)</f>
        <v>8.75</v>
      </c>
      <c r="I220" s="3">
        <f>IFERROR(__xludf.DUMMYFUNCTION("""COMPUTED_VALUE"""),52.5)</f>
        <v>52.5</v>
      </c>
      <c r="J220" s="24">
        <f>IFERROR(__xludf.DUMMYFUNCTION("""COMPUTED_VALUE"""),4.749124216918181E7)</f>
        <v>47491242.17</v>
      </c>
      <c r="K220" s="3" t="str">
        <f>IFERROR(__xludf.DUMMYFUNCTION("""COMPUTED_VALUE"""),"Military")</f>
        <v>Military</v>
      </c>
      <c r="L220" s="24">
        <f>IFERROR(__xludf.DUMMYFUNCTION("""COMPUTED_VALUE"""),8678.135055265213)</f>
        <v>8678.135055</v>
      </c>
      <c r="M220" s="25">
        <f>IFERROR(__xludf.DUMMYFUNCTION("""COMPUTED_VALUE"""),0.23405106707915432)</f>
        <v>0.2340510671</v>
      </c>
      <c r="N220" s="23">
        <f>IFERROR(__xludf.DUMMYFUNCTION("""COMPUTED_VALUE"""),17.553830030936574)</f>
        <v>17.55383003</v>
      </c>
      <c r="O220" s="3"/>
      <c r="P220" s="3" t="str">
        <f>IFERROR(__xludf.DUMMYFUNCTION("""COMPUTED_VALUE"""),"suspended")</f>
        <v>suspended</v>
      </c>
      <c r="Q220" s="3" t="str">
        <f>IFERROR(__xludf.DUMMYFUNCTION("""COMPUTED_VALUE"""),"suspended")</f>
        <v>suspended</v>
      </c>
      <c r="R220" s="3"/>
      <c r="S220" s="3" t="str">
        <f>IFERROR(__xludf.DUMMYFUNCTION("""COMPUTED_VALUE"""),"")</f>
        <v/>
      </c>
      <c r="T220" s="3"/>
      <c r="U220" s="3"/>
      <c r="V220" s="3" t="str">
        <f>IFERROR(__xludf.DUMMYFUNCTION("""COMPUTED_VALUE"""),"")</f>
        <v/>
      </c>
      <c r="W220" s="3"/>
      <c r="X220" s="26" t="str">
        <f>IFERROR(__xludf.DUMMYFUNCTION("""COMPUTED_VALUE"""),"https://rijksictdashboard.nl/ict-activiteiten/a5b6b639-f62f-4cc9-8bed-14a8161db378")</f>
        <v>https://rijksictdashboard.nl/ict-activiteiten/a5b6b639-f62f-4cc9-8bed-14a8161db378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110:D111"/>
    <mergeCell ref="A147:B147"/>
    <mergeCell ref="A172:B172"/>
  </mergeCells>
  <hyperlinks>
    <hyperlink r:id="rId2" ref="X6"/>
    <hyperlink r:id="rId3" ref="X10"/>
    <hyperlink r:id="rId4" ref="X11"/>
    <hyperlink r:id="rId5" ref="X12"/>
    <hyperlink r:id="rId6" ref="X13"/>
    <hyperlink r:id="rId7" ref="X15"/>
    <hyperlink r:id="rId8" ref="X16"/>
    <hyperlink r:id="rId9" ref="X19"/>
    <hyperlink r:id="rId10" ref="X20"/>
    <hyperlink r:id="rId11" ref="X21"/>
    <hyperlink r:id="rId12" ref="X24"/>
    <hyperlink r:id="rId13" ref="X26"/>
    <hyperlink r:id="rId14" ref="X27"/>
    <hyperlink r:id="rId15" ref="X28"/>
    <hyperlink r:id="rId16" ref="X29"/>
    <hyperlink r:id="rId17" ref="X32"/>
    <hyperlink r:id="rId18" ref="X34"/>
    <hyperlink r:id="rId19" ref="X36"/>
    <hyperlink r:id="rId20" ref="X38"/>
    <hyperlink r:id="rId21" ref="X42"/>
    <hyperlink r:id="rId22" ref="X44"/>
    <hyperlink r:id="rId23" ref="X47"/>
    <hyperlink r:id="rId24" ref="X48"/>
    <hyperlink r:id="rId25" ref="X50"/>
    <hyperlink r:id="rId26" ref="X56"/>
    <hyperlink r:id="rId27" ref="X59"/>
    <hyperlink r:id="rId28" ref="X60"/>
    <hyperlink r:id="rId29" location=":~:text=Door%20de%20invoering%20van%20de,257a%20Sv)." ref="X63"/>
    <hyperlink r:id="rId30" ref="X69"/>
    <hyperlink r:id="rId31" ref="X74"/>
    <hyperlink r:id="rId32" ref="X75"/>
    <hyperlink r:id="rId33" ref="X76"/>
    <hyperlink r:id="rId34" ref="X77"/>
    <hyperlink r:id="rId35" ref="X79"/>
    <hyperlink r:id="rId36" ref="X80"/>
    <hyperlink r:id="rId37" ref="X149"/>
    <hyperlink r:id="rId38" ref="X150"/>
    <hyperlink r:id="rId39" ref="X151"/>
    <hyperlink r:id="rId40" ref="X152"/>
    <hyperlink r:id="rId41" ref="X153"/>
    <hyperlink r:id="rId42" ref="X154"/>
    <hyperlink r:id="rId43" ref="X155"/>
    <hyperlink r:id="rId44" ref="X156"/>
    <hyperlink r:id="rId45" ref="X157"/>
    <hyperlink r:id="rId46" ref="X158"/>
    <hyperlink r:id="rId47" ref="X159"/>
    <hyperlink r:id="rId48" ref="X160"/>
    <hyperlink r:id="rId49" ref="X161"/>
    <hyperlink r:id="rId50" ref="X162"/>
    <hyperlink r:id="rId51" ref="X163"/>
    <hyperlink r:id="rId52" ref="X164"/>
    <hyperlink r:id="rId53" ref="X165"/>
    <hyperlink r:id="rId54" ref="X166"/>
    <hyperlink r:id="rId55" ref="X174"/>
    <hyperlink r:id="rId56" ref="X175"/>
    <hyperlink r:id="rId57" ref="X176"/>
    <hyperlink r:id="rId58" ref="X177"/>
    <hyperlink r:id="rId59" ref="X178"/>
    <hyperlink r:id="rId60" ref="X179"/>
    <hyperlink r:id="rId61" ref="X180"/>
    <hyperlink r:id="rId62" ref="X182"/>
    <hyperlink r:id="rId63" ref="X183"/>
    <hyperlink r:id="rId64" ref="X184"/>
    <hyperlink r:id="rId65" ref="X185"/>
    <hyperlink r:id="rId66" ref="X186"/>
    <hyperlink r:id="rId67" ref="X187"/>
    <hyperlink r:id="rId68" ref="X188"/>
    <hyperlink r:id="rId69" ref="X189"/>
    <hyperlink r:id="rId70" ref="X190"/>
    <hyperlink r:id="rId71" ref="X191"/>
    <hyperlink r:id="rId72" ref="X192"/>
    <hyperlink r:id="rId73" ref="X207"/>
    <hyperlink r:id="rId74" ref="X220"/>
  </hyperlinks>
  <printOptions/>
  <pageMargins bottom="0.75" footer="0.0" header="0.0" left="0.7" right="0.7" top="0.75"/>
  <pageSetup orientation="landscape"/>
  <drawing r:id="rId75"/>
  <legacy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7.5"/>
    <col customWidth="1" min="3" max="3" width="18.13"/>
    <col customWidth="1" min="4" max="4" width="19.5"/>
    <col customWidth="1" min="5" max="5" width="44.0"/>
    <col customWidth="1" min="6" max="6" width="7.5"/>
    <col customWidth="1" min="7" max="26" width="10.0"/>
  </cols>
  <sheetData>
    <row r="1" ht="12.75" customHeight="1">
      <c r="A1" s="3" t="s">
        <v>261</v>
      </c>
    </row>
    <row r="2" ht="12.75" customHeight="1">
      <c r="A2" s="15" t="s">
        <v>262</v>
      </c>
    </row>
    <row r="3" ht="12.75" customHeight="1">
      <c r="A3" s="18" t="s">
        <v>263</v>
      </c>
    </row>
    <row r="4" ht="12.75" customHeight="1"/>
    <row r="5" ht="12.75" customHeight="1">
      <c r="A5" s="3" t="s">
        <v>264</v>
      </c>
    </row>
    <row r="6" ht="12.75" customHeight="1">
      <c r="A6" s="18" t="s">
        <v>265</v>
      </c>
    </row>
    <row r="7" ht="12.75" customHeight="1"/>
    <row r="8" ht="12.75" customHeight="1">
      <c r="A8" s="18" t="s">
        <v>266</v>
      </c>
    </row>
    <row r="9" ht="12.75" customHeight="1">
      <c r="A9" s="28" t="s">
        <v>28</v>
      </c>
      <c r="B9" s="28" t="s">
        <v>84</v>
      </c>
      <c r="C9" s="28" t="s">
        <v>267</v>
      </c>
      <c r="D9" s="28" t="s">
        <v>268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9">
        <v>1.0</v>
      </c>
      <c r="B10" s="18">
        <v>50.0</v>
      </c>
      <c r="C10" s="3">
        <v>50.0</v>
      </c>
      <c r="D10" s="18">
        <v>20.0</v>
      </c>
    </row>
    <row r="11" ht="12.75" customHeight="1">
      <c r="A11" s="29">
        <v>10.0</v>
      </c>
      <c r="B11" s="18">
        <v>225.0</v>
      </c>
      <c r="C11" s="3">
        <v>135.0</v>
      </c>
      <c r="D11" s="18">
        <v>50.0</v>
      </c>
    </row>
    <row r="12" ht="12.75" customHeight="1">
      <c r="A12" s="29">
        <v>100.0</v>
      </c>
      <c r="B12" s="18">
        <v>1600.0</v>
      </c>
      <c r="C12" s="3">
        <v>550.0</v>
      </c>
      <c r="D12" s="18">
        <v>150.0</v>
      </c>
    </row>
    <row r="13" ht="12.75" customHeight="1">
      <c r="A13" s="29">
        <v>1000.0</v>
      </c>
      <c r="B13" s="18">
        <v>1250.0</v>
      </c>
      <c r="C13" s="3">
        <v>475.0</v>
      </c>
      <c r="D13" s="18">
        <v>125.0</v>
      </c>
    </row>
    <row r="14" ht="12.75" customHeight="1">
      <c r="A14" s="29">
        <v>10000.0</v>
      </c>
      <c r="B14" s="18">
        <v>175.0</v>
      </c>
      <c r="C14" s="3">
        <v>90.0</v>
      </c>
      <c r="D14" s="18">
        <v>60.0</v>
      </c>
    </row>
    <row r="15" ht="12.75" customHeight="1">
      <c r="A15" s="29">
        <v>100000.0</v>
      </c>
      <c r="B15" s="18">
        <v>0.0</v>
      </c>
      <c r="C15" s="3">
        <v>0.0</v>
      </c>
      <c r="D15" s="18">
        <v>2.0</v>
      </c>
    </row>
    <row r="16" ht="12.75" customHeight="1">
      <c r="A16" s="30" t="s">
        <v>269</v>
      </c>
      <c r="B16" s="31">
        <f t="shared" ref="B16:D16" si="1">SUM(B10:B15)</f>
        <v>3300</v>
      </c>
      <c r="C16" s="31">
        <f t="shared" si="1"/>
        <v>1300</v>
      </c>
      <c r="D16" s="31">
        <f t="shared" si="1"/>
        <v>407</v>
      </c>
    </row>
    <row r="17" ht="12.75" customHeight="1"/>
    <row r="18" ht="12.75" customHeight="1">
      <c r="A18" s="3" t="s">
        <v>270</v>
      </c>
    </row>
    <row r="19" ht="12.75" customHeight="1">
      <c r="A19" s="28" t="s">
        <v>28</v>
      </c>
      <c r="B19" s="28" t="s">
        <v>271</v>
      </c>
      <c r="C19" s="28"/>
      <c r="D19" s="28" t="s">
        <v>272</v>
      </c>
      <c r="E19" s="28" t="s">
        <v>273</v>
      </c>
    </row>
    <row r="20" ht="12.75" customHeight="1">
      <c r="A20" s="18">
        <v>100.0</v>
      </c>
      <c r="B20" s="32">
        <v>352.46</v>
      </c>
      <c r="C20" s="18"/>
      <c r="D20" s="32">
        <f t="shared" ref="D20:D22" si="2">A20*B20</f>
        <v>35246</v>
      </c>
      <c r="E20" s="33">
        <f t="shared" ref="E20:E22" si="3">0.07406812*POWER(D20,0.6877308)</f>
        <v>99.27017953</v>
      </c>
    </row>
    <row r="21" ht="12.75" customHeight="1">
      <c r="A21" s="18">
        <v>1000.0</v>
      </c>
      <c r="B21" s="32">
        <v>1035.46</v>
      </c>
      <c r="C21" s="18"/>
      <c r="D21" s="32">
        <f t="shared" si="2"/>
        <v>1035460</v>
      </c>
      <c r="E21" s="33">
        <f t="shared" si="3"/>
        <v>1014.901224</v>
      </c>
    </row>
    <row r="22" ht="12.75" customHeight="1">
      <c r="A22" s="34">
        <v>10000.0</v>
      </c>
      <c r="B22" s="35">
        <v>2851.9</v>
      </c>
      <c r="C22" s="34"/>
      <c r="D22" s="35">
        <f t="shared" si="2"/>
        <v>28519000</v>
      </c>
      <c r="E22" s="36">
        <f t="shared" si="3"/>
        <v>9925.600545</v>
      </c>
    </row>
    <row r="23" ht="12.75" customHeight="1"/>
    <row r="24" ht="12.75" customHeight="1">
      <c r="A24" s="3" t="s">
        <v>274</v>
      </c>
    </row>
    <row r="25" ht="12.75" customHeight="1">
      <c r="A25" s="28" t="s">
        <v>28</v>
      </c>
      <c r="B25" s="28" t="s">
        <v>271</v>
      </c>
      <c r="C25" s="28"/>
      <c r="D25" s="28" t="s">
        <v>272</v>
      </c>
      <c r="E25" s="28" t="s">
        <v>273</v>
      </c>
    </row>
    <row r="26" ht="12.75" customHeight="1">
      <c r="A26" s="18">
        <v>100.0</v>
      </c>
      <c r="B26" s="32">
        <v>459.21</v>
      </c>
      <c r="C26" s="18"/>
      <c r="D26" s="32">
        <f t="shared" ref="D26:D28" si="4">A26*B26</f>
        <v>45921</v>
      </c>
      <c r="E26" s="33">
        <f t="shared" ref="E26:E28" si="5">0.04744419*POWER(D26,0.7139649)</f>
        <v>101.0870434</v>
      </c>
    </row>
    <row r="27" ht="12.75" customHeight="1">
      <c r="A27" s="18">
        <v>1000.0</v>
      </c>
      <c r="B27" s="32">
        <v>1104.31</v>
      </c>
      <c r="C27" s="18"/>
      <c r="D27" s="32">
        <f t="shared" si="4"/>
        <v>1104310</v>
      </c>
      <c r="E27" s="33">
        <f t="shared" si="5"/>
        <v>978.8990375</v>
      </c>
    </row>
    <row r="28" ht="12.75" customHeight="1">
      <c r="A28" s="34">
        <v>10000.0</v>
      </c>
      <c r="B28" s="35">
        <v>2904.62</v>
      </c>
      <c r="C28" s="34"/>
      <c r="D28" s="35">
        <f t="shared" si="4"/>
        <v>29046200</v>
      </c>
      <c r="E28" s="36">
        <f t="shared" si="5"/>
        <v>10105.71064</v>
      </c>
    </row>
    <row r="29" ht="12.75" customHeight="1">
      <c r="B29" s="32"/>
      <c r="C29" s="18"/>
      <c r="D29" s="32"/>
      <c r="E29" s="33"/>
    </row>
    <row r="30" ht="12.75" customHeight="1">
      <c r="A30" s="18" t="s">
        <v>275</v>
      </c>
    </row>
    <row r="31" ht="12.75" customHeight="1">
      <c r="A31" s="28" t="s">
        <v>28</v>
      </c>
      <c r="B31" s="28" t="s">
        <v>271</v>
      </c>
      <c r="C31" s="28"/>
      <c r="D31" s="28" t="s">
        <v>272</v>
      </c>
      <c r="E31" s="28" t="s">
        <v>273</v>
      </c>
    </row>
    <row r="32" ht="12.75" customHeight="1">
      <c r="A32" s="18">
        <v>1000.0</v>
      </c>
      <c r="B32" s="32">
        <v>1949.84</v>
      </c>
      <c r="C32" s="18"/>
      <c r="D32" s="32">
        <f t="shared" ref="D32:D34" si="6">A32*B32</f>
        <v>1949840</v>
      </c>
      <c r="E32" s="33">
        <f t="shared" ref="E32:E34" si="7">0.05190356*POWER(D32,0.680408)</f>
        <v>988.4683532</v>
      </c>
    </row>
    <row r="33" ht="12.75" customHeight="1">
      <c r="A33" s="34">
        <v>10000.0</v>
      </c>
      <c r="B33" s="32">
        <v>6055.47</v>
      </c>
      <c r="C33" s="18"/>
      <c r="D33" s="32">
        <f t="shared" si="6"/>
        <v>60554700</v>
      </c>
      <c r="E33" s="33">
        <f t="shared" si="7"/>
        <v>10238.4168</v>
      </c>
    </row>
    <row r="34" ht="12.75" customHeight="1">
      <c r="A34" s="34">
        <v>100000.0</v>
      </c>
      <c r="B34" s="35">
        <v>16950.45</v>
      </c>
      <c r="C34" s="34"/>
      <c r="D34" s="35">
        <f t="shared" si="6"/>
        <v>1695045000</v>
      </c>
      <c r="E34" s="36">
        <f t="shared" si="7"/>
        <v>98811.1356</v>
      </c>
    </row>
    <row r="35" ht="12.75" customHeight="1"/>
    <row r="36" ht="12.75" customHeight="1">
      <c r="A36" s="3" t="s">
        <v>276</v>
      </c>
    </row>
    <row r="37" ht="12.75" customHeight="1">
      <c r="A37" s="28" t="s">
        <v>277</v>
      </c>
      <c r="B37" s="28" t="s">
        <v>84</v>
      </c>
      <c r="C37" s="28" t="s">
        <v>267</v>
      </c>
      <c r="D37" s="28" t="s">
        <v>268</v>
      </c>
    </row>
    <row r="38" ht="12.75" customHeight="1">
      <c r="A38" s="18">
        <v>1.0</v>
      </c>
      <c r="B38" s="37">
        <v>0.01</v>
      </c>
      <c r="C38" s="37">
        <v>0.01</v>
      </c>
      <c r="D38" s="37">
        <f t="shared" ref="D38:D39" si="8">0.34066666*(1-EXP(-0.01631659*POWER(A38,0.47035413)))</f>
        <v>0.005513415825</v>
      </c>
      <c r="E38" s="37"/>
    </row>
    <row r="39" ht="12.75" customHeight="1">
      <c r="A39" s="18">
        <v>10.0</v>
      </c>
      <c r="B39" s="37">
        <f t="shared" ref="B39:B43" si="9">0.480552258*(1-EXP(-0.007488657*POWER(A39,0.587382996)))</f>
        <v>0.01371684772</v>
      </c>
      <c r="C39" s="37">
        <f t="shared" ref="C39:C43" si="10">0.33007791*(1-EXP(-0.003296691*POWER(A39,0.67842865)))</f>
        <v>0.005148892733</v>
      </c>
      <c r="D39" s="37">
        <f t="shared" si="8"/>
        <v>0.01602840192</v>
      </c>
      <c r="E39" s="37"/>
    </row>
    <row r="40" ht="12.75" customHeight="1">
      <c r="A40" s="18">
        <v>100.0</v>
      </c>
      <c r="B40" s="37">
        <f t="shared" si="9"/>
        <v>0.05091194311</v>
      </c>
      <c r="C40" s="37">
        <f t="shared" si="10"/>
        <v>0.02384363133</v>
      </c>
      <c r="D40" s="37">
        <v>0.06</v>
      </c>
      <c r="E40" s="37"/>
    </row>
    <row r="41" ht="12.75" customHeight="1">
      <c r="A41" s="18">
        <v>1000.0</v>
      </c>
      <c r="B41" s="37">
        <f t="shared" si="9"/>
        <v>0.1689052576</v>
      </c>
      <c r="C41" s="37">
        <f t="shared" si="10"/>
        <v>0.09923067986</v>
      </c>
      <c r="D41" s="37">
        <v>0.1</v>
      </c>
      <c r="E41" s="37"/>
    </row>
    <row r="42" ht="12.75" customHeight="1">
      <c r="A42" s="18">
        <v>10000.0</v>
      </c>
      <c r="B42" s="37">
        <f t="shared" si="9"/>
        <v>0.390513501</v>
      </c>
      <c r="C42" s="37">
        <f t="shared" si="10"/>
        <v>0.2700949854</v>
      </c>
      <c r="D42" s="37">
        <v>0.25</v>
      </c>
      <c r="E42" s="37"/>
    </row>
    <row r="43" ht="12.75" customHeight="1">
      <c r="A43" s="34">
        <v>100000.0</v>
      </c>
      <c r="B43" s="38">
        <f t="shared" si="9"/>
        <v>0.4798123609</v>
      </c>
      <c r="C43" s="38">
        <f t="shared" si="10"/>
        <v>0.3299809176</v>
      </c>
      <c r="D43" s="38">
        <f>0.34066666*(1-EXP(-0.01631659*POWER(A43,0.47035413)))</f>
        <v>0.3319681503</v>
      </c>
      <c r="E43" s="37"/>
    </row>
    <row r="44" ht="12.75" customHeight="1">
      <c r="A44" s="3" t="s">
        <v>278</v>
      </c>
    </row>
    <row r="45" ht="12.75" customHeight="1">
      <c r="A45" s="3" t="s">
        <v>279</v>
      </c>
    </row>
    <row r="46" ht="12.75" customHeight="1">
      <c r="A46" s="3" t="s">
        <v>280</v>
      </c>
    </row>
    <row r="47" ht="12.75" customHeight="1">
      <c r="A47" s="16" t="s">
        <v>281</v>
      </c>
    </row>
    <row r="48" ht="12.75" customHeight="1"/>
    <row r="49" ht="12.75" customHeight="1">
      <c r="A49" s="3" t="s">
        <v>282</v>
      </c>
    </row>
    <row r="50" ht="12.75" customHeight="1">
      <c r="A50" s="3" t="s">
        <v>283</v>
      </c>
    </row>
    <row r="51" ht="12.75" customHeight="1"/>
    <row r="52" ht="12.75" customHeight="1">
      <c r="A52" s="3" t="s">
        <v>284</v>
      </c>
    </row>
    <row r="53" ht="12.75" customHeight="1">
      <c r="A53" s="3" t="s">
        <v>285</v>
      </c>
      <c r="B53" s="16" t="s">
        <v>286</v>
      </c>
    </row>
    <row r="54" ht="12.75" customHeight="1">
      <c r="A54" s="28"/>
      <c r="B54" s="28">
        <v>1999.0</v>
      </c>
    </row>
    <row r="55" ht="12.75" customHeight="1">
      <c r="A55" s="34" t="s">
        <v>287</v>
      </c>
      <c r="B55" s="34">
        <v>1.0658</v>
      </c>
    </row>
    <row r="56" ht="12.75" customHeight="1">
      <c r="A56" s="39" t="s">
        <v>288</v>
      </c>
    </row>
    <row r="57" ht="12.75" customHeight="1">
      <c r="A57" s="3" t="s">
        <v>289</v>
      </c>
    </row>
    <row r="58" ht="12.75" customHeight="1"/>
    <row r="59" ht="12.75" customHeight="1">
      <c r="A59" s="3" t="s">
        <v>290</v>
      </c>
    </row>
    <row r="60" ht="12.75" customHeight="1">
      <c r="A60" s="3" t="s">
        <v>285</v>
      </c>
      <c r="B60" s="16" t="s">
        <v>291</v>
      </c>
    </row>
    <row r="61" ht="12.75" customHeight="1">
      <c r="A61" s="40" t="s">
        <v>292</v>
      </c>
      <c r="B61" s="40" t="s">
        <v>293</v>
      </c>
      <c r="C61" s="40"/>
      <c r="D61" s="40" t="s">
        <v>294</v>
      </c>
    </row>
    <row r="62" ht="12.75" customHeight="1">
      <c r="A62" s="41" t="s">
        <v>295</v>
      </c>
      <c r="B62" s="41" t="s">
        <v>296</v>
      </c>
      <c r="C62" s="42"/>
      <c r="D62" s="43">
        <v>1.0</v>
      </c>
    </row>
    <row r="63" ht="12.75" customHeight="1">
      <c r="A63" s="18">
        <v>1999.0</v>
      </c>
      <c r="B63" s="18">
        <v>1.7</v>
      </c>
      <c r="C63" s="18"/>
      <c r="D63" s="18">
        <v>1.017</v>
      </c>
    </row>
    <row r="64" ht="12.75" customHeight="1">
      <c r="A64" s="18">
        <v>2000.0</v>
      </c>
      <c r="B64" s="18">
        <v>2.2</v>
      </c>
      <c r="D64" s="18">
        <v>1.039374</v>
      </c>
    </row>
    <row r="65" ht="12.75" customHeight="1">
      <c r="A65" s="18">
        <v>2001.0</v>
      </c>
      <c r="B65" s="18">
        <v>3.6</v>
      </c>
      <c r="D65" s="18">
        <v>1.076791464</v>
      </c>
    </row>
    <row r="66" ht="12.75" customHeight="1">
      <c r="A66" s="18">
        <v>2002.0</v>
      </c>
      <c r="B66" s="18">
        <v>3.4</v>
      </c>
      <c r="D66" s="18">
        <v>1.1134023737760002</v>
      </c>
    </row>
    <row r="67" ht="12.75" customHeight="1">
      <c r="A67" s="18">
        <v>2003.0</v>
      </c>
      <c r="B67" s="18">
        <v>1.9</v>
      </c>
      <c r="D67" s="18">
        <v>1.134557018877744</v>
      </c>
    </row>
    <row r="68" ht="12.75" customHeight="1">
      <c r="A68" s="18">
        <v>2004.0</v>
      </c>
      <c r="B68" s="18">
        <v>0.9</v>
      </c>
      <c r="D68" s="18">
        <v>1.1447680320476437</v>
      </c>
    </row>
    <row r="69" ht="12.75" customHeight="1">
      <c r="A69" s="18">
        <v>2005.0</v>
      </c>
      <c r="B69" s="18">
        <v>1.4</v>
      </c>
      <c r="D69" s="18">
        <v>1.1607947844963107</v>
      </c>
    </row>
    <row r="70" ht="12.75" customHeight="1">
      <c r="A70" s="34">
        <v>2006.0</v>
      </c>
      <c r="B70" s="34">
        <v>1.5</v>
      </c>
      <c r="C70" s="34"/>
      <c r="D70" s="34">
        <v>1.1782067062637551</v>
      </c>
    </row>
    <row r="71" ht="12.75" customHeight="1">
      <c r="A71" s="44" t="s">
        <v>293</v>
      </c>
    </row>
    <row r="72" ht="12.75" customHeight="1">
      <c r="A72" s="44" t="s">
        <v>297</v>
      </c>
    </row>
    <row r="73" ht="12.75" customHeight="1">
      <c r="A73" s="44" t="s">
        <v>298</v>
      </c>
    </row>
    <row r="74" ht="12.75" customHeight="1">
      <c r="A74" s="44" t="s">
        <v>299</v>
      </c>
    </row>
    <row r="75" ht="12.75" customHeight="1">
      <c r="A75" s="44" t="s">
        <v>300</v>
      </c>
    </row>
    <row r="76" ht="12.75" customHeight="1">
      <c r="A76" s="3" t="s">
        <v>301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A2"/>
    <hyperlink r:id="rId2" ref="A47"/>
    <hyperlink r:id="rId3" ref="B53"/>
    <hyperlink r:id="rId4" ref="B60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9.13"/>
    <col customWidth="1" min="3" max="3" width="19.5"/>
    <col customWidth="1" min="4" max="7" width="13.38" outlineLevel="1"/>
    <col customWidth="1" min="8" max="26" width="10.0"/>
  </cols>
  <sheetData>
    <row r="1" ht="12.75" customHeight="1"/>
    <row r="2" ht="13.5" customHeight="1">
      <c r="B2" s="45" t="s">
        <v>302</v>
      </c>
      <c r="C2" s="45"/>
      <c r="D2" s="46"/>
      <c r="E2" s="46"/>
      <c r="F2" s="46"/>
      <c r="G2" s="46"/>
    </row>
    <row r="3" ht="13.5" customHeight="1">
      <c r="B3" s="47"/>
      <c r="C3" s="47"/>
      <c r="D3" s="48" t="s">
        <v>303</v>
      </c>
      <c r="E3" s="48" t="s">
        <v>304</v>
      </c>
      <c r="F3" s="48" t="s">
        <v>305</v>
      </c>
      <c r="G3" s="48" t="s">
        <v>306</v>
      </c>
    </row>
    <row r="4" ht="24.0" hidden="1" customHeight="1" outlineLevel="1">
      <c r="B4" s="49"/>
      <c r="C4" s="49"/>
      <c r="D4" s="18"/>
      <c r="E4" s="50" t="s">
        <v>307</v>
      </c>
      <c r="F4" s="50" t="s">
        <v>307</v>
      </c>
      <c r="G4" s="50" t="s">
        <v>307</v>
      </c>
    </row>
    <row r="5" ht="12.75" customHeight="1" collapsed="1">
      <c r="B5" s="51" t="s">
        <v>308</v>
      </c>
      <c r="C5" s="51"/>
      <c r="D5" s="52"/>
      <c r="E5" s="52"/>
      <c r="F5" s="52"/>
      <c r="G5" s="52"/>
    </row>
    <row r="6" ht="12.75" customHeight="1" outlineLevel="1">
      <c r="B6" s="49"/>
      <c r="C6" s="49" t="s">
        <v>309</v>
      </c>
      <c r="D6" s="18">
        <v>50.0</v>
      </c>
      <c r="E6" s="53">
        <v>20.0</v>
      </c>
      <c r="F6" s="53">
        <v>50.0</v>
      </c>
      <c r="G6" s="53">
        <v>100.0</v>
      </c>
    </row>
    <row r="7" ht="12.75" customHeight="1" outlineLevel="1">
      <c r="B7" s="49"/>
      <c r="C7" s="49" t="s">
        <v>310</v>
      </c>
      <c r="D7" s="18">
        <v>75.0</v>
      </c>
      <c r="E7" s="53">
        <v>20.0</v>
      </c>
      <c r="F7" s="53">
        <v>75.0</v>
      </c>
      <c r="G7" s="53">
        <v>100.0</v>
      </c>
    </row>
    <row r="8" ht="12.75" customHeight="1">
      <c r="B8" s="51" t="s">
        <v>311</v>
      </c>
      <c r="C8" s="51"/>
      <c r="D8" s="52"/>
      <c r="E8" s="52"/>
      <c r="F8" s="52"/>
      <c r="G8" s="52"/>
    </row>
    <row r="9" ht="12.75" customHeight="1" outlineLevel="1">
      <c r="B9" s="49"/>
      <c r="C9" s="49" t="s">
        <v>312</v>
      </c>
      <c r="D9" s="7">
        <v>1637.83085097422</v>
      </c>
      <c r="E9" s="7">
        <v>377.998425698977</v>
      </c>
      <c r="F9" s="7">
        <v>1637.83085097422</v>
      </c>
      <c r="G9" s="7">
        <v>2362.49504520301</v>
      </c>
    </row>
    <row r="10" ht="12.75" customHeight="1" outlineLevel="1">
      <c r="B10" s="49"/>
      <c r="C10" s="49" t="s">
        <v>313</v>
      </c>
      <c r="D10" s="6">
        <v>0.373859084389878</v>
      </c>
      <c r="E10" s="6">
        <v>0.323563965523155</v>
      </c>
      <c r="F10" s="6">
        <v>0.373859084389878</v>
      </c>
      <c r="G10" s="6">
        <v>0.40445579313785</v>
      </c>
    </row>
    <row r="11" ht="12.75" customHeight="1" outlineLevel="1">
      <c r="B11" s="49"/>
      <c r="C11" s="49" t="s">
        <v>314</v>
      </c>
      <c r="D11" s="6">
        <v>0.195101084389878</v>
      </c>
      <c r="E11" s="6">
        <v>0.144805965523155</v>
      </c>
      <c r="F11" s="6">
        <v>0.195101084389878</v>
      </c>
      <c r="G11" s="6">
        <v>0.22569779313785</v>
      </c>
    </row>
    <row r="12" ht="12.75" customHeight="1" outlineLevel="1">
      <c r="B12" s="49"/>
      <c r="C12" s="49" t="s">
        <v>315</v>
      </c>
      <c r="D12" s="7">
        <v>780.314868495</v>
      </c>
      <c r="E12" s="7">
        <v>208.083964932</v>
      </c>
      <c r="F12" s="7">
        <v>780.314868495</v>
      </c>
      <c r="G12" s="7">
        <v>1040.41982466</v>
      </c>
    </row>
    <row r="13" ht="12.75" customHeight="1" outlineLevel="1">
      <c r="B13" s="54"/>
      <c r="C13" s="54" t="s">
        <v>316</v>
      </c>
      <c r="D13" s="55">
        <v>854.713950829218</v>
      </c>
      <c r="E13" s="55">
        <v>169.167252326977</v>
      </c>
      <c r="F13" s="55">
        <v>854.713950829218</v>
      </c>
      <c r="G13" s="55">
        <v>1318.33917834301</v>
      </c>
    </row>
    <row r="14" ht="12.75" customHeight="1">
      <c r="B14" s="3" t="s">
        <v>317</v>
      </c>
    </row>
    <row r="15" ht="12.75" customHeight="1">
      <c r="B15" s="3" t="s">
        <v>318</v>
      </c>
    </row>
    <row r="16" ht="12.75" customHeight="1">
      <c r="B16" s="3" t="s">
        <v>319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2007-10-24T19:38:54Z</dcterms:created>
  <dc:creator>pkampst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ICV">
    <vt:lpstr>86589C65CE0E46608B51B898AC771E85_12</vt:lpstr>
  </property>
  <property fmtid="{D5CDD505-2E9C-101B-9397-08002B2CF9AE}" pid="4" name="KSOProductBuildVer">
    <vt:lpstr>1033-12.2.0.18283</vt:lpstr>
  </property>
</Properties>
</file>